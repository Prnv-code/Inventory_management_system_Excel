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drawings/drawing7.xml" ContentType="application/vnd.openxmlformats-officedocument.drawing+xml"/>
  <Override PartName="/xl/tables/table5.xml" ContentType="application/vnd.openxmlformats-officedocument.spreadsheetml.table+xml"/>
  <Override PartName="/xl/drawings/drawing8.xml" ContentType="application/vnd.openxmlformats-officedocument.drawing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PRNV\Data Analytics\Excel\PROJECTS\"/>
    </mc:Choice>
  </mc:AlternateContent>
  <xr:revisionPtr revIDLastSave="0" documentId="13_ncr:1_{9C2C8732-2A11-4799-9917-4D5C39B909B8}" xr6:coauthVersionLast="47" xr6:coauthVersionMax="47" xr10:uidLastSave="{00000000-0000-0000-0000-000000000000}"/>
  <bookViews>
    <workbookView xWindow="-120" yWindow="-120" windowWidth="29040" windowHeight="15720" tabRatio="829" xr2:uid="{71BB7584-4CFE-42FE-B407-07A317CBB112}"/>
  </bookViews>
  <sheets>
    <sheet name="Dashboard" sheetId="2" r:id="rId1"/>
    <sheet name="Customers" sheetId="31" r:id="rId2"/>
    <sheet name="Products" sheetId="32" r:id="rId3"/>
    <sheet name="Vendors" sheetId="33" r:id="rId4"/>
    <sheet name="New Entry" sheetId="34" r:id="rId5"/>
    <sheet name="Purchase" sheetId="35" r:id="rId6"/>
    <sheet name="Sales" sheetId="36" r:id="rId7"/>
    <sheet name="Inventory" sheetId="37" r:id="rId8"/>
    <sheet name="Pivot" sheetId="39" r:id="rId9"/>
  </sheets>
  <definedNames>
    <definedName name="CID">customersdata[Cust_ID]</definedName>
    <definedName name="hsncode">ProductsData[HSN Code]</definedName>
  </definedNames>
  <calcPr calcId="191029"/>
  <pivotCaches>
    <pivotCache cacheId="25" r:id="rId10"/>
    <pivotCache cacheId="28" r:id="rId11"/>
    <pivotCache cacheId="31" r:id="rId12"/>
    <pivotCache cacheId="35" r:id="rId13"/>
    <pivotCache cacheId="39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37" l="1"/>
  <c r="E8" i="37"/>
  <c r="F8" i="37"/>
  <c r="D9" i="37"/>
  <c r="E9" i="37"/>
  <c r="F9" i="37"/>
  <c r="D10" i="37"/>
  <c r="E10" i="37"/>
  <c r="F10" i="37"/>
  <c r="D11" i="37"/>
  <c r="E11" i="37"/>
  <c r="F11" i="37"/>
  <c r="D12" i="37"/>
  <c r="E12" i="37"/>
  <c r="F12" i="37"/>
  <c r="D13" i="37"/>
  <c r="E13" i="37"/>
  <c r="F13" i="37"/>
  <c r="D14" i="37"/>
  <c r="E14" i="37"/>
  <c r="F14" i="37"/>
  <c r="D15" i="37"/>
  <c r="E15" i="37"/>
  <c r="F15" i="37"/>
  <c r="D16" i="37"/>
  <c r="E16" i="37"/>
  <c r="F16" i="37"/>
  <c r="D17" i="37"/>
  <c r="E17" i="37"/>
  <c r="F17" i="37"/>
  <c r="E7" i="37"/>
  <c r="F7" i="37"/>
  <c r="D7" i="37"/>
  <c r="L20" i="36"/>
  <c r="L21" i="36"/>
  <c r="K7" i="36"/>
  <c r="L7" i="36" s="1"/>
  <c r="K8" i="36"/>
  <c r="L8" i="36" s="1"/>
  <c r="K9" i="36"/>
  <c r="L9" i="36" s="1"/>
  <c r="K10" i="36"/>
  <c r="L10" i="36" s="1"/>
  <c r="K11" i="36"/>
  <c r="L11" i="36" s="1"/>
  <c r="K12" i="36"/>
  <c r="L12" i="36" s="1"/>
  <c r="K13" i="36"/>
  <c r="L13" i="36" s="1"/>
  <c r="K14" i="36"/>
  <c r="L14" i="36" s="1"/>
  <c r="K15" i="36"/>
  <c r="L15" i="36" s="1"/>
  <c r="K16" i="36"/>
  <c r="L16" i="36" s="1"/>
  <c r="K17" i="36"/>
  <c r="L17" i="36" s="1"/>
  <c r="K18" i="36"/>
  <c r="L18" i="36" s="1"/>
  <c r="K19" i="36"/>
  <c r="L19" i="36" s="1"/>
  <c r="K20" i="36"/>
  <c r="K21" i="36"/>
  <c r="G7" i="36"/>
  <c r="G8" i="36"/>
  <c r="G9" i="36"/>
  <c r="G10" i="36"/>
  <c r="G11" i="36"/>
  <c r="H8" i="37" s="1"/>
  <c r="G12" i="36"/>
  <c r="G13" i="36"/>
  <c r="G14" i="36"/>
  <c r="G15" i="36"/>
  <c r="G16" i="36"/>
  <c r="G17" i="36"/>
  <c r="G18" i="36"/>
  <c r="G19" i="36"/>
  <c r="G20" i="36"/>
  <c r="G21" i="36"/>
  <c r="E7" i="36"/>
  <c r="E8" i="36"/>
  <c r="E9" i="36"/>
  <c r="E10" i="36"/>
  <c r="E11" i="36"/>
  <c r="E12" i="36"/>
  <c r="E13" i="36"/>
  <c r="E14" i="36"/>
  <c r="E15" i="36"/>
  <c r="E16" i="36"/>
  <c r="E17" i="36"/>
  <c r="E18" i="36"/>
  <c r="E19" i="36"/>
  <c r="E20" i="36"/>
  <c r="E21" i="36"/>
  <c r="J8" i="35"/>
  <c r="J9" i="35"/>
  <c r="J10" i="35"/>
  <c r="J11" i="35"/>
  <c r="J16" i="35"/>
  <c r="J17" i="35"/>
  <c r="J18" i="35"/>
  <c r="J19" i="35"/>
  <c r="J20" i="35"/>
  <c r="F8" i="35"/>
  <c r="F9" i="35"/>
  <c r="F10" i="35"/>
  <c r="F11" i="35"/>
  <c r="F12" i="35"/>
  <c r="F13" i="35"/>
  <c r="F14" i="35"/>
  <c r="F15" i="35"/>
  <c r="F16" i="35"/>
  <c r="F17" i="35"/>
  <c r="F18" i="35"/>
  <c r="F19" i="35"/>
  <c r="F20" i="35"/>
  <c r="I8" i="35"/>
  <c r="I9" i="35"/>
  <c r="I10" i="35"/>
  <c r="I11" i="35"/>
  <c r="I12" i="35"/>
  <c r="J12" i="35" s="1"/>
  <c r="I13" i="35"/>
  <c r="J13" i="35" s="1"/>
  <c r="I14" i="35"/>
  <c r="J14" i="35" s="1"/>
  <c r="I15" i="35"/>
  <c r="J15" i="35" s="1"/>
  <c r="I16" i="35"/>
  <c r="I17" i="35"/>
  <c r="I18" i="35"/>
  <c r="I19" i="35"/>
  <c r="I20" i="35"/>
  <c r="E8" i="35"/>
  <c r="E9" i="35"/>
  <c r="E10" i="35"/>
  <c r="E11" i="35"/>
  <c r="E12" i="35"/>
  <c r="E13" i="35"/>
  <c r="E14" i="35"/>
  <c r="E15" i="35"/>
  <c r="G17" i="37" s="1"/>
  <c r="E16" i="35"/>
  <c r="G8" i="37" s="1"/>
  <c r="E17" i="35"/>
  <c r="E18" i="35"/>
  <c r="E19" i="35"/>
  <c r="E20" i="35"/>
  <c r="C9" i="39"/>
  <c r="C3" i="39"/>
  <c r="C12" i="39"/>
  <c r="C6" i="39"/>
  <c r="C15" i="39"/>
  <c r="C18" i="39" l="1"/>
  <c r="G10" i="37"/>
  <c r="H15" i="37"/>
  <c r="H14" i="37"/>
  <c r="H12" i="37"/>
  <c r="H11" i="37"/>
  <c r="H7" i="37"/>
  <c r="H10" i="37"/>
  <c r="I10" i="37" s="1"/>
  <c r="K10" i="37" s="1"/>
  <c r="H17" i="37"/>
  <c r="I17" i="37" s="1"/>
  <c r="K17" i="37" s="1"/>
  <c r="H9" i="37"/>
  <c r="H13" i="37"/>
  <c r="H16" i="37"/>
  <c r="G16" i="37"/>
  <c r="G9" i="37"/>
  <c r="G14" i="37"/>
  <c r="G13" i="37"/>
  <c r="G12" i="37"/>
  <c r="G15" i="37"/>
  <c r="G11" i="37"/>
  <c r="G7" i="37"/>
  <c r="I8" i="37"/>
  <c r="K8" i="37" s="1"/>
  <c r="J17" i="37" l="1"/>
  <c r="J10" i="37"/>
  <c r="I16" i="37"/>
  <c r="K16" i="37" s="1"/>
  <c r="I11" i="37"/>
  <c r="I13" i="37"/>
  <c r="K13" i="37" s="1"/>
  <c r="I7" i="37"/>
  <c r="K7" i="37" s="1"/>
  <c r="I15" i="37"/>
  <c r="K15" i="37" s="1"/>
  <c r="I9" i="37"/>
  <c r="K9" i="37" s="1"/>
  <c r="I14" i="37"/>
  <c r="K14" i="37" s="1"/>
  <c r="I12" i="37"/>
  <c r="K12" i="37" s="1"/>
  <c r="I9" i="36"/>
  <c r="J8" i="37"/>
  <c r="I16" i="36"/>
  <c r="I17" i="36"/>
  <c r="I19" i="36"/>
  <c r="I18" i="36"/>
  <c r="I20" i="36"/>
  <c r="I13" i="36"/>
  <c r="I21" i="36"/>
  <c r="I14" i="36"/>
  <c r="I15" i="36"/>
  <c r="I10" i="36" l="1"/>
  <c r="K11" i="37"/>
  <c r="O14" i="2" s="1" a="1"/>
  <c r="O14" i="2" s="1"/>
  <c r="I8" i="36"/>
  <c r="I7" i="36"/>
  <c r="J13" i="37"/>
  <c r="J11" i="37"/>
  <c r="J16" i="37"/>
  <c r="J12" i="37"/>
  <c r="J14" i="37"/>
  <c r="J9" i="37"/>
  <c r="J15" i="37"/>
  <c r="J7" i="37"/>
  <c r="I12" i="36"/>
  <c r="I11" i="3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<sst xmlns="http://schemas.openxmlformats.org/spreadsheetml/2006/main" count="194" uniqueCount="98">
  <si>
    <t>Cust_ID</t>
  </si>
  <si>
    <t>Name</t>
  </si>
  <si>
    <t>Email</t>
  </si>
  <si>
    <t>Address</t>
  </si>
  <si>
    <t>Ram sales</t>
  </si>
  <si>
    <t>Ram@gmail.com</t>
  </si>
  <si>
    <t>Delhi, India</t>
  </si>
  <si>
    <t>Atul Ltd.</t>
  </si>
  <si>
    <t>Atu@gmail.com</t>
  </si>
  <si>
    <t>121102, Palwal, HR</t>
  </si>
  <si>
    <t>MK Tech.</t>
  </si>
  <si>
    <t>MK @gmail.com</t>
  </si>
  <si>
    <t>Faridabad, 121101</t>
  </si>
  <si>
    <t>99store</t>
  </si>
  <si>
    <t>99s@gmail.com</t>
  </si>
  <si>
    <t>Agra, UP</t>
  </si>
  <si>
    <t>Rajesh Kumar</t>
  </si>
  <si>
    <t>Raj@gmail.com</t>
  </si>
  <si>
    <t>New Delhi, 110011</t>
  </si>
  <si>
    <t xml:space="preserve">Amit </t>
  </si>
  <si>
    <t>Ami@gmail.com</t>
  </si>
  <si>
    <t>Gurgaon, Sec-15</t>
  </si>
  <si>
    <t>Jain Tel.</t>
  </si>
  <si>
    <t>Jai@gmail.com</t>
  </si>
  <si>
    <t>Janpath, New Delhi</t>
  </si>
  <si>
    <t>HSN Code</t>
  </si>
  <si>
    <t>Product Name</t>
  </si>
  <si>
    <t>Cost</t>
  </si>
  <si>
    <t>Selling Price</t>
  </si>
  <si>
    <t>N1001</t>
  </si>
  <si>
    <t>Smart Watch</t>
  </si>
  <si>
    <t>N1002</t>
  </si>
  <si>
    <t>Laptop HP xyz i5</t>
  </si>
  <si>
    <t>N1003</t>
  </si>
  <si>
    <t>Wireless Printer</t>
  </si>
  <si>
    <t>N1004</t>
  </si>
  <si>
    <t>Desktop</t>
  </si>
  <si>
    <t>N1005</t>
  </si>
  <si>
    <t>Mouse</t>
  </si>
  <si>
    <t>N1006</t>
  </si>
  <si>
    <t>Rgb Keyboard</t>
  </si>
  <si>
    <t>N1007</t>
  </si>
  <si>
    <t>Camera</t>
  </si>
  <si>
    <t>N1008</t>
  </si>
  <si>
    <t>Headphones</t>
  </si>
  <si>
    <t>N1009</t>
  </si>
  <si>
    <t>Speakers</t>
  </si>
  <si>
    <t>N1010</t>
  </si>
  <si>
    <t>Tablets</t>
  </si>
  <si>
    <t>Vendor Name</t>
  </si>
  <si>
    <t>Phone</t>
  </si>
  <si>
    <t>Tech99</t>
  </si>
  <si>
    <t>9812xxxxxx</t>
  </si>
  <si>
    <t>Faridabad, 121102</t>
  </si>
  <si>
    <t>Faridabad, 121103</t>
  </si>
  <si>
    <t>GG Traders</t>
  </si>
  <si>
    <t>9813xxxxxx</t>
  </si>
  <si>
    <t>Gurgaon, Sec-16</t>
  </si>
  <si>
    <t>Gurgaon, Sec-17</t>
  </si>
  <si>
    <t>Gurgaon, Sec-18</t>
  </si>
  <si>
    <t>Compac</t>
  </si>
  <si>
    <t>9814xxxxxx</t>
  </si>
  <si>
    <t>New Delhi, 110012</t>
  </si>
  <si>
    <t>New Delhi, 110013</t>
  </si>
  <si>
    <t>New Delhi, 110014</t>
  </si>
  <si>
    <t>Purchase Entry</t>
  </si>
  <si>
    <t>Sale Entry</t>
  </si>
  <si>
    <t>Vendor</t>
  </si>
  <si>
    <t>Date</t>
  </si>
  <si>
    <t>Units</t>
  </si>
  <si>
    <t>Amount</t>
  </si>
  <si>
    <t>Cust_Id</t>
  </si>
  <si>
    <t>Cust_Name</t>
  </si>
  <si>
    <t>Stock(Units)</t>
  </si>
  <si>
    <t>Price</t>
  </si>
  <si>
    <t xml:space="preserve">HSN Code </t>
  </si>
  <si>
    <t>S Units</t>
  </si>
  <si>
    <t>P Units</t>
  </si>
  <si>
    <t>Stock</t>
  </si>
  <si>
    <t>Stock Amt</t>
  </si>
  <si>
    <t>Count of Name</t>
  </si>
  <si>
    <t>Customers</t>
  </si>
  <si>
    <t>Count of Product Name</t>
  </si>
  <si>
    <t>Products</t>
  </si>
  <si>
    <t>Sum of Amount</t>
  </si>
  <si>
    <t>Purchase amt</t>
  </si>
  <si>
    <t>Sale amt.</t>
  </si>
  <si>
    <t>Sum of Stock Amt</t>
  </si>
  <si>
    <t>Stock amt</t>
  </si>
  <si>
    <t>p/l</t>
  </si>
  <si>
    <t>Row Labels</t>
  </si>
  <si>
    <t>Grand Total</t>
  </si>
  <si>
    <t>Sum of S Units</t>
  </si>
  <si>
    <t>Notification</t>
  </si>
  <si>
    <t>Sum of Stock</t>
  </si>
  <si>
    <t>prnv</t>
  </si>
  <si>
    <t>prnv@gmail.com</t>
  </si>
  <si>
    <t>nagpur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</si>
</sst>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₹-4009]\ #,##0"/>
  </numFmts>
  <fonts count="6" x14ac:knownFonts="1">
    <font>
      <sz val="11"/>
      <color theme="1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0" fillId="2" borderId="0" xfId="0" applyFill="1"/>
    <xf numFmtId="0" fontId="1" fillId="3" borderId="0" xfId="0" applyFont="1" applyFill="1"/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0" fillId="2" borderId="0" xfId="0" applyFill="1" applyAlignment="1">
      <alignment horizontal="left"/>
    </xf>
    <xf numFmtId="0" fontId="4" fillId="2" borderId="0" xfId="1" applyFill="1"/>
    <xf numFmtId="14" fontId="0" fillId="2" borderId="0" xfId="0" applyNumberFormat="1" applyFill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/>
    <xf numFmtId="0" fontId="0" fillId="4" borderId="0" xfId="0" applyFill="1"/>
    <xf numFmtId="0" fontId="0" fillId="2" borderId="0" xfId="0" applyNumberFormat="1" applyFill="1"/>
    <xf numFmtId="0" fontId="0" fillId="2" borderId="0" xfId="0" quotePrefix="1" applyNumberFormat="1" applyFill="1"/>
    <xf numFmtId="0" fontId="5" fillId="3" borderId="0" xfId="0" applyFont="1" applyFill="1"/>
    <xf numFmtId="0" fontId="0" fillId="0" borderId="0" xfId="0" applyNumberFormat="1"/>
    <xf numFmtId="0" fontId="0" fillId="2" borderId="0" xfId="0" applyFont="1" applyFill="1" applyAlignment="1">
      <alignment horizontal="left"/>
    </xf>
    <xf numFmtId="0" fontId="0" fillId="2" borderId="0" xfId="0" applyFont="1" applyFill="1"/>
  </cellXfs>
  <cellStyles count="2">
    <cellStyle name="Hyperlink" xfId="1" builtinId="8"/>
    <cellStyle name="Normal" xfId="0" builtinId="0"/>
  </cellStyles>
  <dxfs count="49">
    <dxf>
      <numFmt numFmtId="0" formatCode="General"/>
      <fill>
        <patternFill patternType="solid">
          <fgColor indexed="64"/>
          <bgColor theme="0" tint="-0.14999847407452621"/>
        </patternFill>
      </fill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numFmt numFmtId="0" formatCode="General"/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System.xlsx]Pivot!PivotTable6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</a:t>
            </a:r>
            <a:r>
              <a:rPr lang="en-US" baseline="0"/>
              <a:t>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Pivot!$E$3:$E$14</c:f>
              <c:strCache>
                <c:ptCount val="11"/>
                <c:pt idx="0">
                  <c:v>0</c:v>
                </c:pt>
                <c:pt idx="1">
                  <c:v>Camera</c:v>
                </c:pt>
                <c:pt idx="2">
                  <c:v>Desktop</c:v>
                </c:pt>
                <c:pt idx="3">
                  <c:v>Headphones</c:v>
                </c:pt>
                <c:pt idx="4">
                  <c:v>Laptop HP xyz i5</c:v>
                </c:pt>
                <c:pt idx="5">
                  <c:v>Mouse</c:v>
                </c:pt>
                <c:pt idx="6">
                  <c:v>Rgb Keyboard</c:v>
                </c:pt>
                <c:pt idx="7">
                  <c:v>Smart Watch</c:v>
                </c:pt>
                <c:pt idx="8">
                  <c:v>Speakers</c:v>
                </c:pt>
                <c:pt idx="9">
                  <c:v>Tablets</c:v>
                </c:pt>
                <c:pt idx="10">
                  <c:v>Wireless Printer</c:v>
                </c:pt>
              </c:strCache>
            </c:strRef>
          </c:cat>
          <c:val>
            <c:numRef>
              <c:f>Pivot!$F$3:$F$14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23</c:v>
                </c:pt>
                <c:pt idx="5">
                  <c:v>46</c:v>
                </c:pt>
                <c:pt idx="6">
                  <c:v>0</c:v>
                </c:pt>
                <c:pt idx="7">
                  <c:v>50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BE-49E3-98CA-12F53CFF9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5189712"/>
        <c:axId val="775188632"/>
      </c:barChart>
      <c:catAx>
        <c:axId val="775189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188632"/>
        <c:crosses val="autoZero"/>
        <c:auto val="1"/>
        <c:lblAlgn val="ctr"/>
        <c:lblOffset val="100"/>
        <c:noMultiLvlLbl val="0"/>
      </c:catAx>
      <c:valAx>
        <c:axId val="775188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189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System.xlsx]Pivot!PivotTable7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Customers</a:t>
            </a:r>
          </a:p>
        </c:rich>
      </c:tx>
      <c:layout>
        <c:manualLayout>
          <c:xMode val="edge"/>
          <c:yMode val="edge"/>
          <c:x val="0.3208127488736805"/>
          <c:y val="3.66135483064616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Pivot!$F$16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Pivot!$E$17:$E$22</c:f>
              <c:strCache>
                <c:ptCount val="5"/>
                <c:pt idx="0">
                  <c:v>MK Tech.</c:v>
                </c:pt>
                <c:pt idx="1">
                  <c:v>Atul Ltd.</c:v>
                </c:pt>
                <c:pt idx="2">
                  <c:v>Ram sales</c:v>
                </c:pt>
                <c:pt idx="3">
                  <c:v>Amit </c:v>
                </c:pt>
                <c:pt idx="4">
                  <c:v>99store</c:v>
                </c:pt>
              </c:strCache>
            </c:strRef>
          </c:cat>
          <c:val>
            <c:numRef>
              <c:f>Pivot!$F$17:$F$22</c:f>
              <c:numCache>
                <c:formatCode>General</c:formatCode>
                <c:ptCount val="5"/>
                <c:pt idx="0">
                  <c:v>793500</c:v>
                </c:pt>
                <c:pt idx="1">
                  <c:v>29400</c:v>
                </c:pt>
                <c:pt idx="2">
                  <c:v>19600</c:v>
                </c:pt>
                <c:pt idx="3">
                  <c:v>15400</c:v>
                </c:pt>
                <c:pt idx="4">
                  <c:v>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98-4FE2-8FB4-4418CDD11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4477448"/>
        <c:axId val="774477808"/>
      </c:barChart>
      <c:catAx>
        <c:axId val="774477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477808"/>
        <c:crosses val="autoZero"/>
        <c:auto val="1"/>
        <c:lblAlgn val="ctr"/>
        <c:lblOffset val="100"/>
        <c:noMultiLvlLbl val="0"/>
      </c:catAx>
      <c:valAx>
        <c:axId val="774477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477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System.xlsx]Pivot!PivotTable8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Pivot!$A$26:$A$36</c:f>
              <c:strCache>
                <c:ptCount val="10"/>
                <c:pt idx="0">
                  <c:v>Camera</c:v>
                </c:pt>
                <c:pt idx="1">
                  <c:v>Desktop</c:v>
                </c:pt>
                <c:pt idx="2">
                  <c:v>Headphones</c:v>
                </c:pt>
                <c:pt idx="3">
                  <c:v>Laptop HP xyz i5</c:v>
                </c:pt>
                <c:pt idx="4">
                  <c:v>Mouse</c:v>
                </c:pt>
                <c:pt idx="5">
                  <c:v>Rgb Keyboard</c:v>
                </c:pt>
                <c:pt idx="6">
                  <c:v>Smart Watch</c:v>
                </c:pt>
                <c:pt idx="7">
                  <c:v>Speakers</c:v>
                </c:pt>
                <c:pt idx="8">
                  <c:v>Tablets</c:v>
                </c:pt>
                <c:pt idx="9">
                  <c:v>Wireless Printer</c:v>
                </c:pt>
              </c:strCache>
            </c:strRef>
          </c:cat>
          <c:val>
            <c:numRef>
              <c:f>Pivot!$B$26:$B$36</c:f>
              <c:numCache>
                <c:formatCode>General</c:formatCode>
                <c:ptCount val="10"/>
                <c:pt idx="0">
                  <c:v>0</c:v>
                </c:pt>
                <c:pt idx="1">
                  <c:v>34</c:v>
                </c:pt>
                <c:pt idx="2">
                  <c:v>5</c:v>
                </c:pt>
                <c:pt idx="3">
                  <c:v>27</c:v>
                </c:pt>
                <c:pt idx="4">
                  <c:v>254</c:v>
                </c:pt>
                <c:pt idx="5">
                  <c:v>7</c:v>
                </c:pt>
                <c:pt idx="6">
                  <c:v>150</c:v>
                </c:pt>
                <c:pt idx="7">
                  <c:v>80</c:v>
                </c:pt>
                <c:pt idx="8">
                  <c:v>0</c:v>
                </c:pt>
                <c:pt idx="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9F-4F09-A002-4CBAB3A81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76437544"/>
        <c:axId val="776440784"/>
        <c:axId val="0"/>
      </c:bar3DChart>
      <c:catAx>
        <c:axId val="776437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40784"/>
        <c:crosses val="autoZero"/>
        <c:auto val="1"/>
        <c:lblAlgn val="ctr"/>
        <c:lblOffset val="100"/>
        <c:noMultiLvlLbl val="0"/>
      </c:catAx>
      <c:valAx>
        <c:axId val="77644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4375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Sales!A1"/><Relationship Id="rId13" Type="http://schemas.openxmlformats.org/officeDocument/2006/relationships/image" Target="../media/image6.svg"/><Relationship Id="rId18" Type="http://schemas.openxmlformats.org/officeDocument/2006/relationships/image" Target="../media/image11.png"/><Relationship Id="rId26" Type="http://schemas.openxmlformats.org/officeDocument/2006/relationships/hyperlink" Target="#Dashboard!A1"/><Relationship Id="rId3" Type="http://schemas.openxmlformats.org/officeDocument/2006/relationships/hyperlink" Target="#Customers!A1"/><Relationship Id="rId21" Type="http://schemas.openxmlformats.org/officeDocument/2006/relationships/image" Target="../media/image14.svg"/><Relationship Id="rId7" Type="http://schemas.openxmlformats.org/officeDocument/2006/relationships/hyperlink" Target="#Purchase!A1"/><Relationship Id="rId12" Type="http://schemas.openxmlformats.org/officeDocument/2006/relationships/image" Target="../media/image5.png"/><Relationship Id="rId17" Type="http://schemas.openxmlformats.org/officeDocument/2006/relationships/image" Target="../media/image10.svg"/><Relationship Id="rId25" Type="http://schemas.openxmlformats.org/officeDocument/2006/relationships/image" Target="../media/image18.svg"/><Relationship Id="rId2" Type="http://schemas.openxmlformats.org/officeDocument/2006/relationships/image" Target="../media/image2.svg"/><Relationship Id="rId16" Type="http://schemas.openxmlformats.org/officeDocument/2006/relationships/image" Target="../media/image9.png"/><Relationship Id="rId20" Type="http://schemas.openxmlformats.org/officeDocument/2006/relationships/image" Target="../media/image13.png"/><Relationship Id="rId29" Type="http://schemas.openxmlformats.org/officeDocument/2006/relationships/chart" Target="../charts/chart3.xml"/><Relationship Id="rId1" Type="http://schemas.openxmlformats.org/officeDocument/2006/relationships/image" Target="../media/image1.png"/><Relationship Id="rId6" Type="http://schemas.openxmlformats.org/officeDocument/2006/relationships/hyperlink" Target="#'New Entry'!A1"/><Relationship Id="rId11" Type="http://schemas.openxmlformats.org/officeDocument/2006/relationships/image" Target="../media/image4.svg"/><Relationship Id="rId24" Type="http://schemas.openxmlformats.org/officeDocument/2006/relationships/image" Target="../media/image17.png"/><Relationship Id="rId5" Type="http://schemas.openxmlformats.org/officeDocument/2006/relationships/hyperlink" Target="#Vendors!A1"/><Relationship Id="rId15" Type="http://schemas.openxmlformats.org/officeDocument/2006/relationships/image" Target="../media/image8.svg"/><Relationship Id="rId23" Type="http://schemas.openxmlformats.org/officeDocument/2006/relationships/image" Target="../media/image16.svg"/><Relationship Id="rId28" Type="http://schemas.openxmlformats.org/officeDocument/2006/relationships/chart" Target="../charts/chart2.xml"/><Relationship Id="rId10" Type="http://schemas.openxmlformats.org/officeDocument/2006/relationships/image" Target="../media/image3.png"/><Relationship Id="rId19" Type="http://schemas.openxmlformats.org/officeDocument/2006/relationships/image" Target="../media/image12.svg"/><Relationship Id="rId4" Type="http://schemas.openxmlformats.org/officeDocument/2006/relationships/hyperlink" Target="#Products!A1"/><Relationship Id="rId9" Type="http://schemas.openxmlformats.org/officeDocument/2006/relationships/hyperlink" Target="#Inventory!A1"/><Relationship Id="rId14" Type="http://schemas.openxmlformats.org/officeDocument/2006/relationships/image" Target="../media/image7.png"/><Relationship Id="rId22" Type="http://schemas.openxmlformats.org/officeDocument/2006/relationships/image" Target="../media/image15.png"/><Relationship Id="rId27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Purchase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18.svg"/><Relationship Id="rId3" Type="http://schemas.openxmlformats.org/officeDocument/2006/relationships/hyperlink" Target="#Dashboard!A1"/><Relationship Id="rId21" Type="http://schemas.openxmlformats.org/officeDocument/2006/relationships/image" Target="../media/image21.png"/><Relationship Id="rId7" Type="http://schemas.openxmlformats.org/officeDocument/2006/relationships/hyperlink" Target="#'New Entry'!A1"/><Relationship Id="rId12" Type="http://schemas.openxmlformats.org/officeDocument/2006/relationships/image" Target="../media/image20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19.png"/><Relationship Id="rId24" Type="http://schemas.openxmlformats.org/officeDocument/2006/relationships/image" Target="../media/image16.svg"/><Relationship Id="rId5" Type="http://schemas.openxmlformats.org/officeDocument/2006/relationships/hyperlink" Target="#Products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Inventory!A1"/><Relationship Id="rId19" Type="http://schemas.openxmlformats.org/officeDocument/2006/relationships/image" Target="../media/image11.png"/><Relationship Id="rId4" Type="http://schemas.openxmlformats.org/officeDocument/2006/relationships/hyperlink" Target="#Customers!A1"/><Relationship Id="rId9" Type="http://schemas.openxmlformats.org/officeDocument/2006/relationships/hyperlink" Target="#Sales!A1"/><Relationship Id="rId14" Type="http://schemas.openxmlformats.org/officeDocument/2006/relationships/image" Target="../media/image6.svg"/><Relationship Id="rId22" Type="http://schemas.openxmlformats.org/officeDocument/2006/relationships/image" Target="../media/image22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Purchase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24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'New Entry'!A1"/><Relationship Id="rId12" Type="http://schemas.openxmlformats.org/officeDocument/2006/relationships/image" Target="../media/image20.svg"/><Relationship Id="rId17" Type="http://schemas.openxmlformats.org/officeDocument/2006/relationships/image" Target="../media/image9.png"/><Relationship Id="rId25" Type="http://schemas.openxmlformats.org/officeDocument/2006/relationships/image" Target="../media/image23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19.png"/><Relationship Id="rId24" Type="http://schemas.openxmlformats.org/officeDocument/2006/relationships/image" Target="../media/image16.svg"/><Relationship Id="rId5" Type="http://schemas.openxmlformats.org/officeDocument/2006/relationships/hyperlink" Target="#Products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Inventory!A1"/><Relationship Id="rId19" Type="http://schemas.openxmlformats.org/officeDocument/2006/relationships/image" Target="../media/image11.png"/><Relationship Id="rId4" Type="http://schemas.openxmlformats.org/officeDocument/2006/relationships/hyperlink" Target="#Customers!A1"/><Relationship Id="rId9" Type="http://schemas.openxmlformats.org/officeDocument/2006/relationships/hyperlink" Target="#Sales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Purchase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18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'New Entry'!A1"/><Relationship Id="rId12" Type="http://schemas.openxmlformats.org/officeDocument/2006/relationships/image" Target="../media/image20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19.png"/><Relationship Id="rId24" Type="http://schemas.openxmlformats.org/officeDocument/2006/relationships/image" Target="../media/image26.svg"/><Relationship Id="rId5" Type="http://schemas.openxmlformats.org/officeDocument/2006/relationships/hyperlink" Target="#Products!A1"/><Relationship Id="rId15" Type="http://schemas.openxmlformats.org/officeDocument/2006/relationships/image" Target="../media/image7.png"/><Relationship Id="rId23" Type="http://schemas.openxmlformats.org/officeDocument/2006/relationships/image" Target="../media/image25.png"/><Relationship Id="rId10" Type="http://schemas.openxmlformats.org/officeDocument/2006/relationships/hyperlink" Target="#Inventory!A1"/><Relationship Id="rId19" Type="http://schemas.openxmlformats.org/officeDocument/2006/relationships/image" Target="../media/image11.png"/><Relationship Id="rId4" Type="http://schemas.openxmlformats.org/officeDocument/2006/relationships/hyperlink" Target="#Customers!A1"/><Relationship Id="rId9" Type="http://schemas.openxmlformats.org/officeDocument/2006/relationships/hyperlink" Target="#Sales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Purchase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18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'New Entry'!A1"/><Relationship Id="rId12" Type="http://schemas.openxmlformats.org/officeDocument/2006/relationships/image" Target="../media/image20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28.sv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19.png"/><Relationship Id="rId24" Type="http://schemas.openxmlformats.org/officeDocument/2006/relationships/image" Target="../media/image16.svg"/><Relationship Id="rId5" Type="http://schemas.openxmlformats.org/officeDocument/2006/relationships/hyperlink" Target="#Products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Inventory!A1"/><Relationship Id="rId19" Type="http://schemas.openxmlformats.org/officeDocument/2006/relationships/image" Target="../media/image27.png"/><Relationship Id="rId4" Type="http://schemas.openxmlformats.org/officeDocument/2006/relationships/hyperlink" Target="#Customers!A1"/><Relationship Id="rId9" Type="http://schemas.openxmlformats.org/officeDocument/2006/relationships/hyperlink" Target="#Sales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Purchase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18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'New Entry'!A1"/><Relationship Id="rId12" Type="http://schemas.openxmlformats.org/officeDocument/2006/relationships/image" Target="../media/image20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30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19.png"/><Relationship Id="rId24" Type="http://schemas.openxmlformats.org/officeDocument/2006/relationships/image" Target="../media/image16.svg"/><Relationship Id="rId5" Type="http://schemas.openxmlformats.org/officeDocument/2006/relationships/hyperlink" Target="#Products!A1"/><Relationship Id="rId15" Type="http://schemas.openxmlformats.org/officeDocument/2006/relationships/image" Target="../media/image29.png"/><Relationship Id="rId23" Type="http://schemas.openxmlformats.org/officeDocument/2006/relationships/image" Target="../media/image15.png"/><Relationship Id="rId10" Type="http://schemas.openxmlformats.org/officeDocument/2006/relationships/hyperlink" Target="#Inventory!A1"/><Relationship Id="rId19" Type="http://schemas.openxmlformats.org/officeDocument/2006/relationships/image" Target="../media/image11.png"/><Relationship Id="rId4" Type="http://schemas.openxmlformats.org/officeDocument/2006/relationships/hyperlink" Target="#Customers!A1"/><Relationship Id="rId9" Type="http://schemas.openxmlformats.org/officeDocument/2006/relationships/hyperlink" Target="#Sales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Purchase!A1"/><Relationship Id="rId13" Type="http://schemas.openxmlformats.org/officeDocument/2006/relationships/image" Target="../media/image5.png"/><Relationship Id="rId18" Type="http://schemas.openxmlformats.org/officeDocument/2006/relationships/image" Target="../media/image32.svg"/><Relationship Id="rId26" Type="http://schemas.openxmlformats.org/officeDocument/2006/relationships/image" Target="../media/image18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'New Entry'!A1"/><Relationship Id="rId12" Type="http://schemas.openxmlformats.org/officeDocument/2006/relationships/image" Target="../media/image20.svg"/><Relationship Id="rId17" Type="http://schemas.openxmlformats.org/officeDocument/2006/relationships/image" Target="../media/image31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19.png"/><Relationship Id="rId24" Type="http://schemas.openxmlformats.org/officeDocument/2006/relationships/image" Target="../media/image16.svg"/><Relationship Id="rId5" Type="http://schemas.openxmlformats.org/officeDocument/2006/relationships/hyperlink" Target="#Products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Inventory!A1"/><Relationship Id="rId19" Type="http://schemas.openxmlformats.org/officeDocument/2006/relationships/image" Target="../media/image11.png"/><Relationship Id="rId4" Type="http://schemas.openxmlformats.org/officeDocument/2006/relationships/hyperlink" Target="#Customers!A1"/><Relationship Id="rId9" Type="http://schemas.openxmlformats.org/officeDocument/2006/relationships/hyperlink" Target="#Sales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Purchase!A1"/><Relationship Id="rId13" Type="http://schemas.openxmlformats.org/officeDocument/2006/relationships/image" Target="../media/image33.png"/><Relationship Id="rId18" Type="http://schemas.openxmlformats.org/officeDocument/2006/relationships/image" Target="../media/image10.svg"/><Relationship Id="rId26" Type="http://schemas.openxmlformats.org/officeDocument/2006/relationships/image" Target="../media/image18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'New Entry'!A1"/><Relationship Id="rId12" Type="http://schemas.openxmlformats.org/officeDocument/2006/relationships/image" Target="../media/image20.svg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Vendors!A1"/><Relationship Id="rId11" Type="http://schemas.openxmlformats.org/officeDocument/2006/relationships/image" Target="../media/image19.png"/><Relationship Id="rId24" Type="http://schemas.openxmlformats.org/officeDocument/2006/relationships/image" Target="../media/image16.svg"/><Relationship Id="rId5" Type="http://schemas.openxmlformats.org/officeDocument/2006/relationships/hyperlink" Target="#Products!A1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Inventory!A1"/><Relationship Id="rId19" Type="http://schemas.openxmlformats.org/officeDocument/2006/relationships/image" Target="../media/image11.png"/><Relationship Id="rId4" Type="http://schemas.openxmlformats.org/officeDocument/2006/relationships/hyperlink" Target="#Customers!A1"/><Relationship Id="rId9" Type="http://schemas.openxmlformats.org/officeDocument/2006/relationships/hyperlink" Target="#Sales!A1"/><Relationship Id="rId14" Type="http://schemas.openxmlformats.org/officeDocument/2006/relationships/image" Target="../media/image34.svg"/><Relationship Id="rId22" Type="http://schemas.openxmlformats.org/officeDocument/2006/relationships/image" Target="../media/image1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2</xdr:row>
      <xdr:rowOff>19050</xdr:rowOff>
    </xdr:from>
    <xdr:to>
      <xdr:col>1</xdr:col>
      <xdr:colOff>1133475</xdr:colOff>
      <xdr:row>5</xdr:row>
      <xdr:rowOff>114300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0D485063-DFB6-420F-BE17-BC9C2D352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447675"/>
          <a:ext cx="666750" cy="666750"/>
        </a:xfrm>
        <a:prstGeom prst="rect">
          <a:avLst/>
        </a:prstGeom>
      </xdr:spPr>
    </xdr:pic>
    <xdr:clientData/>
  </xdr:twoCellAnchor>
  <xdr:twoCellAnchor>
    <xdr:from>
      <xdr:col>0</xdr:col>
      <xdr:colOff>228600</xdr:colOff>
      <xdr:row>5</xdr:row>
      <xdr:rowOff>76200</xdr:rowOff>
    </xdr:from>
    <xdr:to>
      <xdr:col>2</xdr:col>
      <xdr:colOff>0</xdr:colOff>
      <xdr:row>8</xdr:row>
      <xdr:rowOff>47625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69B6A45-5BF5-4331-A571-E877D60C5C25}"/>
            </a:ext>
          </a:extLst>
        </xdr:cNvPr>
        <xdr:cNvSpPr/>
      </xdr:nvSpPr>
      <xdr:spPr>
        <a:xfrm>
          <a:off x="228600" y="1076325"/>
          <a:ext cx="1724025" cy="542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chemeClr val="tx1"/>
              </a:solidFill>
            </a:rPr>
            <a:t>Inventory Management</a:t>
          </a:r>
          <a:r>
            <a:rPr lang="en-IN" sz="1400" b="1" baseline="0">
              <a:solidFill>
                <a:schemeClr val="tx1"/>
              </a:solidFill>
            </a:rPr>
            <a:t> System</a:t>
          </a:r>
          <a:endParaRPr lang="en-IN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504825</xdr:colOff>
      <xdr:row>11</xdr:row>
      <xdr:rowOff>185057</xdr:rowOff>
    </xdr:from>
    <xdr:to>
      <xdr:col>2</xdr:col>
      <xdr:colOff>57150</xdr:colOff>
      <xdr:row>13</xdr:row>
      <xdr:rowOff>137432</xdr:rowOff>
    </xdr:to>
    <xdr:sp macro="" textlink="">
      <xdr:nvSpPr>
        <xdr:cNvPr id="5" name="Rectangl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3899EC9-C037-4EAA-8E9D-809D8E2FCDFE}"/>
            </a:ext>
          </a:extLst>
        </xdr:cNvPr>
        <xdr:cNvSpPr/>
      </xdr:nvSpPr>
      <xdr:spPr>
        <a:xfrm>
          <a:off x="771525" y="2328182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>
    <xdr:from>
      <xdr:col>1</xdr:col>
      <xdr:colOff>504825</xdr:colOff>
      <xdr:row>13</xdr:row>
      <xdr:rowOff>160564</xdr:rowOff>
    </xdr:from>
    <xdr:to>
      <xdr:col>2</xdr:col>
      <xdr:colOff>57150</xdr:colOff>
      <xdr:row>15</xdr:row>
      <xdr:rowOff>112939</xdr:rowOff>
    </xdr:to>
    <xdr:sp macro="" textlink="">
      <xdr:nvSpPr>
        <xdr:cNvPr id="6" name="Rectangle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3698BD0-446D-47BB-B8B7-F760D0B7868D}"/>
            </a:ext>
          </a:extLst>
        </xdr:cNvPr>
        <xdr:cNvSpPr/>
      </xdr:nvSpPr>
      <xdr:spPr>
        <a:xfrm>
          <a:off x="771525" y="2684689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>
    <xdr:from>
      <xdr:col>1</xdr:col>
      <xdr:colOff>504825</xdr:colOff>
      <xdr:row>15</xdr:row>
      <xdr:rowOff>136071</xdr:rowOff>
    </xdr:from>
    <xdr:to>
      <xdr:col>2</xdr:col>
      <xdr:colOff>57150</xdr:colOff>
      <xdr:row>17</xdr:row>
      <xdr:rowOff>88446</xdr:rowOff>
    </xdr:to>
    <xdr:sp macro="" textlink="">
      <xdr:nvSpPr>
        <xdr:cNvPr id="7" name="Rectangle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4E3E8CC-F0C4-490F-A413-FAA2A6C12942}"/>
            </a:ext>
          </a:extLst>
        </xdr:cNvPr>
        <xdr:cNvSpPr/>
      </xdr:nvSpPr>
      <xdr:spPr>
        <a:xfrm>
          <a:off x="771525" y="3041196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>
    <xdr:from>
      <xdr:col>1</xdr:col>
      <xdr:colOff>504825</xdr:colOff>
      <xdr:row>17</xdr:row>
      <xdr:rowOff>111578</xdr:rowOff>
    </xdr:from>
    <xdr:to>
      <xdr:col>2</xdr:col>
      <xdr:colOff>57150</xdr:colOff>
      <xdr:row>19</xdr:row>
      <xdr:rowOff>63953</xdr:rowOff>
    </xdr:to>
    <xdr:sp macro="" textlink="">
      <xdr:nvSpPr>
        <xdr:cNvPr id="8" name="Rectangle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7EC070A-A4F1-415B-9851-EB895E21DB81}"/>
            </a:ext>
          </a:extLst>
        </xdr:cNvPr>
        <xdr:cNvSpPr/>
      </xdr:nvSpPr>
      <xdr:spPr>
        <a:xfrm>
          <a:off x="771525" y="3397703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>
    <xdr:from>
      <xdr:col>1</xdr:col>
      <xdr:colOff>504825</xdr:colOff>
      <xdr:row>19</xdr:row>
      <xdr:rowOff>87085</xdr:rowOff>
    </xdr:from>
    <xdr:to>
      <xdr:col>2</xdr:col>
      <xdr:colOff>57150</xdr:colOff>
      <xdr:row>21</xdr:row>
      <xdr:rowOff>39460</xdr:rowOff>
    </xdr:to>
    <xdr:sp macro="" textlink="">
      <xdr:nvSpPr>
        <xdr:cNvPr id="9" name="Rectangle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3B7F4C1-33E4-47DA-864D-3477B3987375}"/>
            </a:ext>
          </a:extLst>
        </xdr:cNvPr>
        <xdr:cNvSpPr/>
      </xdr:nvSpPr>
      <xdr:spPr>
        <a:xfrm>
          <a:off x="771525" y="3754210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>
    <xdr:from>
      <xdr:col>1</xdr:col>
      <xdr:colOff>504825</xdr:colOff>
      <xdr:row>21</xdr:row>
      <xdr:rowOff>62592</xdr:rowOff>
    </xdr:from>
    <xdr:to>
      <xdr:col>2</xdr:col>
      <xdr:colOff>57150</xdr:colOff>
      <xdr:row>23</xdr:row>
      <xdr:rowOff>14967</xdr:rowOff>
    </xdr:to>
    <xdr:sp macro="" textlink="">
      <xdr:nvSpPr>
        <xdr:cNvPr id="10" name="Rectangle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C1887B4-2C1C-4A93-9E61-980CA3989272}"/>
            </a:ext>
          </a:extLst>
        </xdr:cNvPr>
        <xdr:cNvSpPr/>
      </xdr:nvSpPr>
      <xdr:spPr>
        <a:xfrm>
          <a:off x="771525" y="4110717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>
    <xdr:from>
      <xdr:col>1</xdr:col>
      <xdr:colOff>504825</xdr:colOff>
      <xdr:row>23</xdr:row>
      <xdr:rowOff>38100</xdr:rowOff>
    </xdr:from>
    <xdr:to>
      <xdr:col>2</xdr:col>
      <xdr:colOff>57150</xdr:colOff>
      <xdr:row>24</xdr:row>
      <xdr:rowOff>180975</xdr:rowOff>
    </xdr:to>
    <xdr:sp macro="" textlink="">
      <xdr:nvSpPr>
        <xdr:cNvPr id="11" name="Rectangle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553DC79-F62A-4413-8661-2580447D46E7}"/>
            </a:ext>
          </a:extLst>
        </xdr:cNvPr>
        <xdr:cNvSpPr/>
      </xdr:nvSpPr>
      <xdr:spPr>
        <a:xfrm>
          <a:off x="771525" y="4467225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180975</xdr:colOff>
      <xdr:row>10</xdr:row>
      <xdr:rowOff>66675</xdr:rowOff>
    </xdr:from>
    <xdr:to>
      <xdr:col>1</xdr:col>
      <xdr:colOff>511175</xdr:colOff>
      <xdr:row>12</xdr:row>
      <xdr:rowOff>9525</xdr:rowOff>
    </xdr:to>
    <xdr:pic>
      <xdr:nvPicPr>
        <xdr:cNvPr id="12" name="Graphic 11" descr="Presentation with bar chart with solid fill">
          <a:extLst>
            <a:ext uri="{FF2B5EF4-FFF2-40B4-BE49-F238E27FC236}">
              <a16:creationId xmlns:a16="http://schemas.microsoft.com/office/drawing/2014/main" id="{34141ECF-04FB-4CD3-94DA-6599D0144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447675" y="2019300"/>
          <a:ext cx="330200" cy="333375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23</xdr:row>
      <xdr:rowOff>15875</xdr:rowOff>
    </xdr:from>
    <xdr:to>
      <xdr:col>1</xdr:col>
      <xdr:colOff>472075</xdr:colOff>
      <xdr:row>24</xdr:row>
      <xdr:rowOff>80550</xdr:rowOff>
    </xdr:to>
    <xdr:pic>
      <xdr:nvPicPr>
        <xdr:cNvPr id="13" name="Graphic 12" descr="Clipboard Partially Checked with solid fill">
          <a:extLst>
            <a:ext uri="{FF2B5EF4-FFF2-40B4-BE49-F238E27FC236}">
              <a16:creationId xmlns:a16="http://schemas.microsoft.com/office/drawing/2014/main" id="{24A225FC-7327-4CF5-8F30-8677A9038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486775" y="4492625"/>
          <a:ext cx="252000" cy="255175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19</xdr:row>
      <xdr:rowOff>83325</xdr:rowOff>
    </xdr:from>
    <xdr:to>
      <xdr:col>1</xdr:col>
      <xdr:colOff>472075</xdr:colOff>
      <xdr:row>20</xdr:row>
      <xdr:rowOff>148000</xdr:rowOff>
    </xdr:to>
    <xdr:pic>
      <xdr:nvPicPr>
        <xdr:cNvPr id="14" name="Graphic 13" descr="Receipt with solid fill">
          <a:extLst>
            <a:ext uri="{FF2B5EF4-FFF2-40B4-BE49-F238E27FC236}">
              <a16:creationId xmlns:a16="http://schemas.microsoft.com/office/drawing/2014/main" id="{74431F94-095B-443A-982A-301BCA31A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486775" y="3798075"/>
          <a:ext cx="252000" cy="255175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21</xdr:row>
      <xdr:rowOff>49175</xdr:rowOff>
    </xdr:from>
    <xdr:to>
      <xdr:col>1</xdr:col>
      <xdr:colOff>472075</xdr:colOff>
      <xdr:row>22</xdr:row>
      <xdr:rowOff>113850</xdr:rowOff>
    </xdr:to>
    <xdr:pic>
      <xdr:nvPicPr>
        <xdr:cNvPr id="15" name="Graphic 14" descr="Register with solid fill">
          <a:extLst>
            <a:ext uri="{FF2B5EF4-FFF2-40B4-BE49-F238E27FC236}">
              <a16:creationId xmlns:a16="http://schemas.microsoft.com/office/drawing/2014/main" id="{D2E4EA59-6427-40A9-AA8C-DB3F48A6B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486775" y="4144925"/>
          <a:ext cx="252000" cy="255175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17</xdr:row>
      <xdr:rowOff>122975</xdr:rowOff>
    </xdr:from>
    <xdr:to>
      <xdr:col>1</xdr:col>
      <xdr:colOff>472075</xdr:colOff>
      <xdr:row>18</xdr:row>
      <xdr:rowOff>184475</xdr:rowOff>
    </xdr:to>
    <xdr:pic>
      <xdr:nvPicPr>
        <xdr:cNvPr id="16" name="Graphic 15" descr="Full Brick Wall with solid fill">
          <a:extLst>
            <a:ext uri="{FF2B5EF4-FFF2-40B4-BE49-F238E27FC236}">
              <a16:creationId xmlns:a16="http://schemas.microsoft.com/office/drawing/2014/main" id="{BCFAAA1F-8BB8-4213-8239-C3D111A2A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486775" y="3456725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12</xdr:row>
      <xdr:rowOff>41200</xdr:rowOff>
    </xdr:from>
    <xdr:to>
      <xdr:col>1</xdr:col>
      <xdr:colOff>472075</xdr:colOff>
      <xdr:row>13</xdr:row>
      <xdr:rowOff>102700</xdr:rowOff>
    </xdr:to>
    <xdr:pic>
      <xdr:nvPicPr>
        <xdr:cNvPr id="17" name="Graphic 16" descr="User with solid fill">
          <a:extLst>
            <a:ext uri="{FF2B5EF4-FFF2-40B4-BE49-F238E27FC236}">
              <a16:creationId xmlns:a16="http://schemas.microsoft.com/office/drawing/2014/main" id="{DAC6CE0C-226E-491C-AEC9-EE8232EA9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486775" y="2384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15</xdr:row>
      <xdr:rowOff>92775</xdr:rowOff>
    </xdr:from>
    <xdr:to>
      <xdr:col>1</xdr:col>
      <xdr:colOff>472075</xdr:colOff>
      <xdr:row>16</xdr:row>
      <xdr:rowOff>154275</xdr:rowOff>
    </xdr:to>
    <xdr:pic>
      <xdr:nvPicPr>
        <xdr:cNvPr id="18" name="Graphic 17" descr="User outline">
          <a:extLst>
            <a:ext uri="{FF2B5EF4-FFF2-40B4-BE49-F238E27FC236}">
              <a16:creationId xmlns:a16="http://schemas.microsoft.com/office/drawing/2014/main" id="{F749D72C-586C-458E-B282-FEE044786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486775" y="3045525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13</xdr:row>
      <xdr:rowOff>165100</xdr:rowOff>
    </xdr:from>
    <xdr:to>
      <xdr:col>1</xdr:col>
      <xdr:colOff>472075</xdr:colOff>
      <xdr:row>15</xdr:row>
      <xdr:rowOff>2482</xdr:rowOff>
    </xdr:to>
    <xdr:pic>
      <xdr:nvPicPr>
        <xdr:cNvPr id="19" name="Graphic 18" descr="Inventory outline">
          <a:extLst>
            <a:ext uri="{FF2B5EF4-FFF2-40B4-BE49-F238E27FC236}">
              <a16:creationId xmlns:a16="http://schemas.microsoft.com/office/drawing/2014/main" id="{22827DA7-1AC4-4D91-8E22-A56863394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96DAC541-7B7A-43D3-8B79-37D633B846F1}">
              <asvg:svgBlip xmlns:asvg="http://schemas.microsoft.com/office/drawing/2016/SVG/main" r:embed="rId25"/>
            </a:ext>
          </a:extLst>
        </a:blip>
        <a:stretch>
          <a:fillRect/>
        </a:stretch>
      </xdr:blipFill>
      <xdr:spPr>
        <a:xfrm>
          <a:off x="486775" y="26987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28575</xdr:rowOff>
    </xdr:from>
    <xdr:to>
      <xdr:col>21</xdr:col>
      <xdr:colOff>27214</xdr:colOff>
      <xdr:row>4</xdr:row>
      <xdr:rowOff>85725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C3AC1E7-6B71-EAC4-F34D-B0F42E9FF0DD}"/>
            </a:ext>
          </a:extLst>
        </xdr:cNvPr>
        <xdr:cNvSpPr/>
      </xdr:nvSpPr>
      <xdr:spPr>
        <a:xfrm>
          <a:off x="2121354" y="273504"/>
          <a:ext cx="11050360" cy="62865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3200" b="1">
              <a:solidFill>
                <a:schemeClr val="tx1"/>
              </a:solidFill>
            </a:rPr>
            <a:t>   Inventory Management System</a:t>
          </a:r>
        </a:p>
      </xdr:txBody>
    </xdr:sp>
    <xdr:clientData/>
  </xdr:twoCellAnchor>
  <xdr:twoCellAnchor>
    <xdr:from>
      <xdr:col>1</xdr:col>
      <xdr:colOff>504825</xdr:colOff>
      <xdr:row>10</xdr:row>
      <xdr:rowOff>19050</xdr:rowOff>
    </xdr:from>
    <xdr:to>
      <xdr:col>2</xdr:col>
      <xdr:colOff>57150</xdr:colOff>
      <xdr:row>11</xdr:row>
      <xdr:rowOff>161925</xdr:rowOff>
    </xdr:to>
    <xdr:sp macro="" textlink="">
      <xdr:nvSpPr>
        <xdr:cNvPr id="4" name="Rectangle 3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DBE09E39-344B-4891-8ABF-7A749BA388DC}"/>
            </a:ext>
          </a:extLst>
        </xdr:cNvPr>
        <xdr:cNvSpPr/>
      </xdr:nvSpPr>
      <xdr:spPr>
        <a:xfrm>
          <a:off x="771525" y="1971675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chemeClr val="tx1"/>
              </a:solidFill>
            </a:rPr>
            <a:t>Dashboard</a:t>
          </a:r>
        </a:p>
      </xdr:txBody>
    </xdr:sp>
    <xdr:clientData/>
  </xdr:twoCellAnchor>
  <xdr:twoCellAnchor editAs="absolute">
    <xdr:from>
      <xdr:col>3</xdr:col>
      <xdr:colOff>2723</xdr:colOff>
      <xdr:row>5</xdr:row>
      <xdr:rowOff>19049</xdr:rowOff>
    </xdr:from>
    <xdr:to>
      <xdr:col>5</xdr:col>
      <xdr:colOff>518433</xdr:colOff>
      <xdr:row>9</xdr:row>
      <xdr:rowOff>40820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D1839E6E-C896-6164-AB3A-C2B5EFCBCA75}"/>
            </a:ext>
          </a:extLst>
        </xdr:cNvPr>
        <xdr:cNvSpPr/>
      </xdr:nvSpPr>
      <xdr:spPr>
        <a:xfrm>
          <a:off x="2125437" y="1025978"/>
          <a:ext cx="1740353" cy="783771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chemeClr val="tx1"/>
              </a:solidFill>
            </a:rPr>
            <a:t>       </a:t>
          </a:r>
          <a:r>
            <a:rPr lang="en-IN" sz="1600" b="1">
              <a:solidFill>
                <a:schemeClr val="tx1"/>
              </a:solidFill>
            </a:rPr>
            <a:t> Customers</a:t>
          </a:r>
        </a:p>
      </xdr:txBody>
    </xdr:sp>
    <xdr:clientData/>
  </xdr:twoCellAnchor>
  <xdr:twoCellAnchor editAs="absolute">
    <xdr:from>
      <xdr:col>3</xdr:col>
      <xdr:colOff>28575</xdr:colOff>
      <xdr:row>5</xdr:row>
      <xdr:rowOff>19050</xdr:rowOff>
    </xdr:from>
    <xdr:to>
      <xdr:col>3</xdr:col>
      <xdr:colOff>190500</xdr:colOff>
      <xdr:row>9</xdr:row>
      <xdr:rowOff>38100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BC82BB48-141E-83B6-5C2A-A7FD5268E778}"/>
            </a:ext>
          </a:extLst>
        </xdr:cNvPr>
        <xdr:cNvSpPr/>
      </xdr:nvSpPr>
      <xdr:spPr>
        <a:xfrm>
          <a:off x="2143125" y="1019175"/>
          <a:ext cx="161925" cy="78105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2">
                <a:lumMod val="50000"/>
                <a:lumOff val="50000"/>
              </a:schemeClr>
            </a:solidFill>
          </a:endParaRPr>
        </a:p>
      </xdr:txBody>
    </xdr:sp>
    <xdr:clientData/>
  </xdr:twoCellAnchor>
  <xdr:twoCellAnchor editAs="absolute">
    <xdr:from>
      <xdr:col>6</xdr:col>
      <xdr:colOff>43544</xdr:colOff>
      <xdr:row>5</xdr:row>
      <xdr:rowOff>32656</xdr:rowOff>
    </xdr:from>
    <xdr:to>
      <xdr:col>8</xdr:col>
      <xdr:colOff>559255</xdr:colOff>
      <xdr:row>9</xdr:row>
      <xdr:rowOff>54427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D92B9496-CE3E-CF14-AD6E-0B396AB3A3C4}"/>
            </a:ext>
          </a:extLst>
        </xdr:cNvPr>
        <xdr:cNvSpPr/>
      </xdr:nvSpPr>
      <xdr:spPr>
        <a:xfrm>
          <a:off x="4003223" y="1039585"/>
          <a:ext cx="1740353" cy="783771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chemeClr val="tx1"/>
              </a:solidFill>
            </a:rPr>
            <a:t>       </a:t>
          </a:r>
          <a:r>
            <a:rPr lang="en-IN" sz="1600" b="1">
              <a:solidFill>
                <a:schemeClr val="tx1"/>
              </a:solidFill>
            </a:rPr>
            <a:t> Products</a:t>
          </a:r>
        </a:p>
      </xdr:txBody>
    </xdr:sp>
    <xdr:clientData/>
  </xdr:twoCellAnchor>
  <xdr:twoCellAnchor editAs="absolute">
    <xdr:from>
      <xdr:col>6</xdr:col>
      <xdr:colOff>69396</xdr:colOff>
      <xdr:row>5</xdr:row>
      <xdr:rowOff>32657</xdr:rowOff>
    </xdr:from>
    <xdr:to>
      <xdr:col>6</xdr:col>
      <xdr:colOff>231321</xdr:colOff>
      <xdr:row>9</xdr:row>
      <xdr:rowOff>51707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C38373E1-045B-9C02-D15A-CCF514F0A0CA}"/>
            </a:ext>
          </a:extLst>
        </xdr:cNvPr>
        <xdr:cNvSpPr/>
      </xdr:nvSpPr>
      <xdr:spPr>
        <a:xfrm>
          <a:off x="4029075" y="1039586"/>
          <a:ext cx="161925" cy="78105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2">
                <a:lumMod val="50000"/>
                <a:lumOff val="50000"/>
              </a:schemeClr>
            </a:solidFill>
          </a:endParaRPr>
        </a:p>
      </xdr:txBody>
    </xdr:sp>
    <xdr:clientData/>
  </xdr:twoCellAnchor>
  <xdr:twoCellAnchor editAs="absolute">
    <xdr:from>
      <xdr:col>9</xdr:col>
      <xdr:colOff>84366</xdr:colOff>
      <xdr:row>5</xdr:row>
      <xdr:rowOff>32656</xdr:rowOff>
    </xdr:from>
    <xdr:to>
      <xdr:col>11</xdr:col>
      <xdr:colOff>600076</xdr:colOff>
      <xdr:row>9</xdr:row>
      <xdr:rowOff>54427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C5B5402C-A7F4-D4B9-A461-FC6D8F1C05EE}"/>
            </a:ext>
          </a:extLst>
        </xdr:cNvPr>
        <xdr:cNvSpPr/>
      </xdr:nvSpPr>
      <xdr:spPr>
        <a:xfrm>
          <a:off x="5881009" y="1039585"/>
          <a:ext cx="1740353" cy="783771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chemeClr val="tx1"/>
              </a:solidFill>
            </a:rPr>
            <a:t>       </a:t>
          </a:r>
          <a:r>
            <a:rPr lang="en-IN" sz="1600" b="1">
              <a:solidFill>
                <a:schemeClr val="tx1"/>
              </a:solidFill>
            </a:rPr>
            <a:t> Purchase Amt.</a:t>
          </a:r>
        </a:p>
      </xdr:txBody>
    </xdr:sp>
    <xdr:clientData/>
  </xdr:twoCellAnchor>
  <xdr:twoCellAnchor editAs="absolute">
    <xdr:from>
      <xdr:col>9</xdr:col>
      <xdr:colOff>110218</xdr:colOff>
      <xdr:row>5</xdr:row>
      <xdr:rowOff>32657</xdr:rowOff>
    </xdr:from>
    <xdr:to>
      <xdr:col>9</xdr:col>
      <xdr:colOff>272143</xdr:colOff>
      <xdr:row>9</xdr:row>
      <xdr:rowOff>51707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3DF53D1B-CF20-A03C-B145-BB77DC721032}"/>
            </a:ext>
          </a:extLst>
        </xdr:cNvPr>
        <xdr:cNvSpPr/>
      </xdr:nvSpPr>
      <xdr:spPr>
        <a:xfrm>
          <a:off x="5906861" y="1039586"/>
          <a:ext cx="161925" cy="78105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2">
                <a:lumMod val="50000"/>
                <a:lumOff val="50000"/>
              </a:schemeClr>
            </a:solidFill>
          </a:endParaRPr>
        </a:p>
      </xdr:txBody>
    </xdr:sp>
    <xdr:clientData/>
  </xdr:twoCellAnchor>
  <xdr:twoCellAnchor editAs="absolute">
    <xdr:from>
      <xdr:col>12</xdr:col>
      <xdr:colOff>111581</xdr:colOff>
      <xdr:row>5</xdr:row>
      <xdr:rowOff>32656</xdr:rowOff>
    </xdr:from>
    <xdr:to>
      <xdr:col>15</xdr:col>
      <xdr:colOff>14970</xdr:colOff>
      <xdr:row>9</xdr:row>
      <xdr:rowOff>54427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957F95E9-BB15-DF5B-EF29-E120BC57222A}"/>
            </a:ext>
          </a:extLst>
        </xdr:cNvPr>
        <xdr:cNvSpPr/>
      </xdr:nvSpPr>
      <xdr:spPr>
        <a:xfrm>
          <a:off x="7745188" y="1039585"/>
          <a:ext cx="1740353" cy="783771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chemeClr val="tx1"/>
              </a:solidFill>
            </a:rPr>
            <a:t>       </a:t>
          </a:r>
          <a:r>
            <a:rPr lang="en-IN" sz="1600" b="1">
              <a:solidFill>
                <a:schemeClr val="tx1"/>
              </a:solidFill>
            </a:rPr>
            <a:t> Sales Amt.</a:t>
          </a:r>
        </a:p>
      </xdr:txBody>
    </xdr:sp>
    <xdr:clientData/>
  </xdr:twoCellAnchor>
  <xdr:twoCellAnchor editAs="absolute">
    <xdr:from>
      <xdr:col>12</xdr:col>
      <xdr:colOff>137433</xdr:colOff>
      <xdr:row>5</xdr:row>
      <xdr:rowOff>32657</xdr:rowOff>
    </xdr:from>
    <xdr:to>
      <xdr:col>12</xdr:col>
      <xdr:colOff>299358</xdr:colOff>
      <xdr:row>9</xdr:row>
      <xdr:rowOff>51707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7D806344-C3E9-FCB6-0C71-0A4CC0B0BD7F}"/>
            </a:ext>
          </a:extLst>
        </xdr:cNvPr>
        <xdr:cNvSpPr/>
      </xdr:nvSpPr>
      <xdr:spPr>
        <a:xfrm>
          <a:off x="7771040" y="1039586"/>
          <a:ext cx="161925" cy="78105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2">
                <a:lumMod val="50000"/>
                <a:lumOff val="50000"/>
              </a:schemeClr>
            </a:solidFill>
          </a:endParaRPr>
        </a:p>
      </xdr:txBody>
    </xdr:sp>
    <xdr:clientData/>
  </xdr:twoCellAnchor>
  <xdr:twoCellAnchor editAs="absolute">
    <xdr:from>
      <xdr:col>15</xdr:col>
      <xdr:colOff>138795</xdr:colOff>
      <xdr:row>5</xdr:row>
      <xdr:rowOff>32656</xdr:rowOff>
    </xdr:from>
    <xdr:to>
      <xdr:col>18</xdr:col>
      <xdr:colOff>42183</xdr:colOff>
      <xdr:row>9</xdr:row>
      <xdr:rowOff>54427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7DF7236D-27E2-561B-FE1D-8C56C916A0B6}"/>
            </a:ext>
          </a:extLst>
        </xdr:cNvPr>
        <xdr:cNvSpPr/>
      </xdr:nvSpPr>
      <xdr:spPr>
        <a:xfrm>
          <a:off x="9609366" y="1039585"/>
          <a:ext cx="1740353" cy="783771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chemeClr val="tx1"/>
              </a:solidFill>
            </a:rPr>
            <a:t>       </a:t>
          </a:r>
          <a:r>
            <a:rPr lang="en-IN" sz="1600" b="1">
              <a:solidFill>
                <a:schemeClr val="tx1"/>
              </a:solidFill>
            </a:rPr>
            <a:t> Stock Amt.</a:t>
          </a:r>
        </a:p>
      </xdr:txBody>
    </xdr:sp>
    <xdr:clientData/>
  </xdr:twoCellAnchor>
  <xdr:twoCellAnchor editAs="absolute">
    <xdr:from>
      <xdr:col>15</xdr:col>
      <xdr:colOff>164647</xdr:colOff>
      <xdr:row>5</xdr:row>
      <xdr:rowOff>32657</xdr:rowOff>
    </xdr:from>
    <xdr:to>
      <xdr:col>15</xdr:col>
      <xdr:colOff>326572</xdr:colOff>
      <xdr:row>9</xdr:row>
      <xdr:rowOff>51707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BA542381-1811-898F-FF4C-78B8977432E6}"/>
            </a:ext>
          </a:extLst>
        </xdr:cNvPr>
        <xdr:cNvSpPr/>
      </xdr:nvSpPr>
      <xdr:spPr>
        <a:xfrm>
          <a:off x="9635218" y="1039586"/>
          <a:ext cx="161925" cy="78105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2">
                <a:lumMod val="50000"/>
                <a:lumOff val="50000"/>
              </a:schemeClr>
            </a:solidFill>
          </a:endParaRPr>
        </a:p>
      </xdr:txBody>
    </xdr:sp>
    <xdr:clientData/>
  </xdr:twoCellAnchor>
  <xdr:twoCellAnchor editAs="absolute">
    <xdr:from>
      <xdr:col>18</xdr:col>
      <xdr:colOff>125187</xdr:colOff>
      <xdr:row>5</xdr:row>
      <xdr:rowOff>32656</xdr:rowOff>
    </xdr:from>
    <xdr:to>
      <xdr:col>21</xdr:col>
      <xdr:colOff>28576</xdr:colOff>
      <xdr:row>9</xdr:row>
      <xdr:rowOff>54427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C27AFE2-CB24-68CB-847D-131D252DCE8B}"/>
            </a:ext>
          </a:extLst>
        </xdr:cNvPr>
        <xdr:cNvSpPr/>
      </xdr:nvSpPr>
      <xdr:spPr>
        <a:xfrm>
          <a:off x="11432723" y="1039585"/>
          <a:ext cx="1740353" cy="783771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chemeClr val="tx1"/>
              </a:solidFill>
            </a:rPr>
            <a:t>       </a:t>
          </a:r>
          <a:r>
            <a:rPr lang="en-IN" sz="1600" b="1">
              <a:solidFill>
                <a:schemeClr val="tx1"/>
              </a:solidFill>
            </a:rPr>
            <a:t> Profit/Loss</a:t>
          </a:r>
        </a:p>
      </xdr:txBody>
    </xdr:sp>
    <xdr:clientData/>
  </xdr:twoCellAnchor>
  <xdr:twoCellAnchor editAs="absolute">
    <xdr:from>
      <xdr:col>18</xdr:col>
      <xdr:colOff>151039</xdr:colOff>
      <xdr:row>5</xdr:row>
      <xdr:rowOff>32657</xdr:rowOff>
    </xdr:from>
    <xdr:to>
      <xdr:col>18</xdr:col>
      <xdr:colOff>312964</xdr:colOff>
      <xdr:row>9</xdr:row>
      <xdr:rowOff>51707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8B3A7AA3-CF42-A15A-B07B-A71A163CC656}"/>
            </a:ext>
          </a:extLst>
        </xdr:cNvPr>
        <xdr:cNvSpPr/>
      </xdr:nvSpPr>
      <xdr:spPr>
        <a:xfrm>
          <a:off x="11458575" y="1039586"/>
          <a:ext cx="161925" cy="78105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2">
                <a:lumMod val="50000"/>
                <a:lumOff val="50000"/>
              </a:schemeClr>
            </a:solidFill>
          </a:endParaRPr>
        </a:p>
      </xdr:txBody>
    </xdr:sp>
    <xdr:clientData/>
  </xdr:twoCellAnchor>
  <xdr:twoCellAnchor editAs="absolute">
    <xdr:from>
      <xdr:col>3</xdr:col>
      <xdr:colOff>326572</xdr:colOff>
      <xdr:row>6</xdr:row>
      <xdr:rowOff>108857</xdr:rowOff>
    </xdr:from>
    <xdr:to>
      <xdr:col>5</xdr:col>
      <xdr:colOff>476250</xdr:colOff>
      <xdr:row>8</xdr:row>
      <xdr:rowOff>176892</xdr:rowOff>
    </xdr:to>
    <xdr:sp macro="" textlink="Pivot!C3">
      <xdr:nvSpPr>
        <xdr:cNvPr id="35" name="Rectangle 34">
          <a:extLst>
            <a:ext uri="{FF2B5EF4-FFF2-40B4-BE49-F238E27FC236}">
              <a16:creationId xmlns:a16="http://schemas.microsoft.com/office/drawing/2014/main" id="{1EEB1BEE-7ABB-BFFF-9E0E-B50D8F322D8C}"/>
            </a:ext>
          </a:extLst>
        </xdr:cNvPr>
        <xdr:cNvSpPr/>
      </xdr:nvSpPr>
      <xdr:spPr>
        <a:xfrm>
          <a:off x="2449286" y="1306286"/>
          <a:ext cx="1374321" cy="4490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2FCC126E-9FA0-4508-BBD9-1B503726B441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pPr algn="l"/>
            <a:t>8</a:t>
          </a:fld>
          <a:endParaRPr lang="en-IN" sz="2000" b="1"/>
        </a:p>
      </xdr:txBody>
    </xdr:sp>
    <xdr:clientData/>
  </xdr:twoCellAnchor>
  <xdr:twoCellAnchor editAs="absolute">
    <xdr:from>
      <xdr:col>6</xdr:col>
      <xdr:colOff>353786</xdr:colOff>
      <xdr:row>6</xdr:row>
      <xdr:rowOff>122464</xdr:rowOff>
    </xdr:from>
    <xdr:to>
      <xdr:col>8</xdr:col>
      <xdr:colOff>503465</xdr:colOff>
      <xdr:row>9</xdr:row>
      <xdr:rowOff>-1</xdr:rowOff>
    </xdr:to>
    <xdr:sp macro="" textlink="Pivot!C6">
      <xdr:nvSpPr>
        <xdr:cNvPr id="43" name="Rectangle 42">
          <a:extLst>
            <a:ext uri="{FF2B5EF4-FFF2-40B4-BE49-F238E27FC236}">
              <a16:creationId xmlns:a16="http://schemas.microsoft.com/office/drawing/2014/main" id="{ED8396D0-8C0B-F3C7-9531-8C007D066422}"/>
            </a:ext>
          </a:extLst>
        </xdr:cNvPr>
        <xdr:cNvSpPr/>
      </xdr:nvSpPr>
      <xdr:spPr>
        <a:xfrm>
          <a:off x="4313465" y="1319893"/>
          <a:ext cx="1374321" cy="4490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697D787A-1C59-40D8-AA71-2D58332D84B0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pPr algn="l"/>
            <a:t>10</a:t>
          </a:fld>
          <a:endParaRPr lang="en-IN" sz="2000" b="1"/>
        </a:p>
      </xdr:txBody>
    </xdr:sp>
    <xdr:clientData/>
  </xdr:twoCellAnchor>
  <xdr:twoCellAnchor editAs="absolute">
    <xdr:from>
      <xdr:col>12</xdr:col>
      <xdr:colOff>462643</xdr:colOff>
      <xdr:row>6</xdr:row>
      <xdr:rowOff>108857</xdr:rowOff>
    </xdr:from>
    <xdr:to>
      <xdr:col>15</xdr:col>
      <xdr:colOff>0</xdr:colOff>
      <xdr:row>8</xdr:row>
      <xdr:rowOff>176892</xdr:rowOff>
    </xdr:to>
    <xdr:sp macro="" textlink="Pivot!C12">
      <xdr:nvSpPr>
        <xdr:cNvPr id="45" name="Rectangle 44">
          <a:extLst>
            <a:ext uri="{FF2B5EF4-FFF2-40B4-BE49-F238E27FC236}">
              <a16:creationId xmlns:a16="http://schemas.microsoft.com/office/drawing/2014/main" id="{C7DFBCF4-1ADB-6299-BA60-37200244E122}"/>
            </a:ext>
          </a:extLst>
        </xdr:cNvPr>
        <xdr:cNvSpPr/>
      </xdr:nvSpPr>
      <xdr:spPr>
        <a:xfrm>
          <a:off x="8096250" y="1306286"/>
          <a:ext cx="1374321" cy="4490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5BCFB9CC-E4F5-4053-8202-488A6100B55B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pPr algn="l"/>
            <a:t>₹ 865,100</a:t>
          </a:fld>
          <a:endParaRPr lang="en-IN" sz="2000" b="1"/>
        </a:p>
      </xdr:txBody>
    </xdr:sp>
    <xdr:clientData/>
  </xdr:twoCellAnchor>
  <xdr:twoCellAnchor editAs="absolute">
    <xdr:from>
      <xdr:col>15</xdr:col>
      <xdr:colOff>449037</xdr:colOff>
      <xdr:row>6</xdr:row>
      <xdr:rowOff>136071</xdr:rowOff>
    </xdr:from>
    <xdr:to>
      <xdr:col>18</xdr:col>
      <xdr:colOff>27214</xdr:colOff>
      <xdr:row>9</xdr:row>
      <xdr:rowOff>13606</xdr:rowOff>
    </xdr:to>
    <xdr:sp macro="" textlink="Pivot!C15">
      <xdr:nvSpPr>
        <xdr:cNvPr id="46" name="Rectangle 45">
          <a:extLst>
            <a:ext uri="{FF2B5EF4-FFF2-40B4-BE49-F238E27FC236}">
              <a16:creationId xmlns:a16="http://schemas.microsoft.com/office/drawing/2014/main" id="{128EB72B-652A-B5D1-54EE-B136EF1B763D}"/>
            </a:ext>
          </a:extLst>
        </xdr:cNvPr>
        <xdr:cNvSpPr/>
      </xdr:nvSpPr>
      <xdr:spPr>
        <a:xfrm>
          <a:off x="9919608" y="1333500"/>
          <a:ext cx="1415142" cy="4490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D34D4E9-8A9E-44DF-A99C-D430697B5EF3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pPr algn="l"/>
            <a:t>₹ 2,018,275</a:t>
          </a:fld>
          <a:endParaRPr lang="en-IN" sz="2000" b="1"/>
        </a:p>
      </xdr:txBody>
    </xdr:sp>
    <xdr:clientData/>
  </xdr:twoCellAnchor>
  <xdr:twoCellAnchor editAs="absolute">
    <xdr:from>
      <xdr:col>18</xdr:col>
      <xdr:colOff>435429</xdr:colOff>
      <xdr:row>6</xdr:row>
      <xdr:rowOff>108857</xdr:rowOff>
    </xdr:from>
    <xdr:to>
      <xdr:col>20</xdr:col>
      <xdr:colOff>585107</xdr:colOff>
      <xdr:row>8</xdr:row>
      <xdr:rowOff>176892</xdr:rowOff>
    </xdr:to>
    <xdr:sp macro="" textlink="Pivot!C18">
      <xdr:nvSpPr>
        <xdr:cNvPr id="47" name="Rectangle 46">
          <a:extLst>
            <a:ext uri="{FF2B5EF4-FFF2-40B4-BE49-F238E27FC236}">
              <a16:creationId xmlns:a16="http://schemas.microsoft.com/office/drawing/2014/main" id="{5741902E-9B35-755A-3D2B-61840247DD95}"/>
            </a:ext>
          </a:extLst>
        </xdr:cNvPr>
        <xdr:cNvSpPr/>
      </xdr:nvSpPr>
      <xdr:spPr>
        <a:xfrm>
          <a:off x="11742965" y="1306286"/>
          <a:ext cx="1374321" cy="4490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A90C38C-11FB-42FC-9D9F-FAC7B2A81AAD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pPr algn="l"/>
            <a:t>₹ 0</a:t>
          </a:fld>
          <a:endParaRPr lang="en-IN" sz="2000" b="1"/>
        </a:p>
      </xdr:txBody>
    </xdr:sp>
    <xdr:clientData/>
  </xdr:twoCellAnchor>
  <xdr:twoCellAnchor editAs="absolute">
    <xdr:from>
      <xdr:col>9</xdr:col>
      <xdr:colOff>381000</xdr:colOff>
      <xdr:row>6</xdr:row>
      <xdr:rowOff>122464</xdr:rowOff>
    </xdr:from>
    <xdr:to>
      <xdr:col>11</xdr:col>
      <xdr:colOff>598713</xdr:colOff>
      <xdr:row>9</xdr:row>
      <xdr:rowOff>-1</xdr:rowOff>
    </xdr:to>
    <xdr:sp macro="" textlink="Pivot!C9">
      <xdr:nvSpPr>
        <xdr:cNvPr id="48" name="Rectangle 47">
          <a:extLst>
            <a:ext uri="{FF2B5EF4-FFF2-40B4-BE49-F238E27FC236}">
              <a16:creationId xmlns:a16="http://schemas.microsoft.com/office/drawing/2014/main" id="{B81EAF53-F92E-C5FB-D2AF-6333CB4A4CCC}"/>
            </a:ext>
          </a:extLst>
        </xdr:cNvPr>
        <xdr:cNvSpPr/>
      </xdr:nvSpPr>
      <xdr:spPr>
        <a:xfrm>
          <a:off x="6177643" y="1319893"/>
          <a:ext cx="1442356" cy="4490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2305A39-82B9-490E-AD84-9C2140BFEA82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pPr algn="l"/>
            <a:t>₹ 2,883,375</a:t>
          </a:fld>
          <a:endParaRPr lang="en-IN" sz="2000" b="1"/>
        </a:p>
      </xdr:txBody>
    </xdr:sp>
    <xdr:clientData/>
  </xdr:twoCellAnchor>
  <xdr:twoCellAnchor>
    <xdr:from>
      <xdr:col>14</xdr:col>
      <xdr:colOff>11207</xdr:colOff>
      <xdr:row>10</xdr:row>
      <xdr:rowOff>190500</xdr:rowOff>
    </xdr:from>
    <xdr:to>
      <xdr:col>17</xdr:col>
      <xdr:colOff>44824</xdr:colOff>
      <xdr:row>12</xdr:row>
      <xdr:rowOff>123266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19E2ED7-4D14-5334-10F5-4EDBD528AA07}"/>
            </a:ext>
          </a:extLst>
        </xdr:cNvPr>
        <xdr:cNvSpPr/>
      </xdr:nvSpPr>
      <xdr:spPr>
        <a:xfrm>
          <a:off x="8774207" y="2140324"/>
          <a:ext cx="1848970" cy="32497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000" b="1">
              <a:solidFill>
                <a:schemeClr val="tx1"/>
              </a:solidFill>
            </a:rPr>
            <a:t>Notifications!</a:t>
          </a:r>
        </a:p>
      </xdr:txBody>
    </xdr:sp>
    <xdr:clientData/>
  </xdr:twoCellAnchor>
  <xdr:twoCellAnchor>
    <xdr:from>
      <xdr:col>2</xdr:col>
      <xdr:colOff>145676</xdr:colOff>
      <xdr:row>10</xdr:row>
      <xdr:rowOff>179294</xdr:rowOff>
    </xdr:from>
    <xdr:to>
      <xdr:col>8</xdr:col>
      <xdr:colOff>100854</xdr:colOff>
      <xdr:row>23</xdr:row>
      <xdr:rowOff>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1B9D1BDC-44BA-4B0A-8750-6485AD509C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8</xdr:col>
      <xdr:colOff>212912</xdr:colOff>
      <xdr:row>10</xdr:row>
      <xdr:rowOff>179293</xdr:rowOff>
    </xdr:from>
    <xdr:to>
      <xdr:col>13</xdr:col>
      <xdr:colOff>470648</xdr:colOff>
      <xdr:row>22</xdr:row>
      <xdr:rowOff>179294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3F557CA1-BC27-4E92-BC71-14FD70F9D6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2</xdr:col>
      <xdr:colOff>156881</xdr:colOff>
      <xdr:row>23</xdr:row>
      <xdr:rowOff>156882</xdr:rowOff>
    </xdr:from>
    <xdr:to>
      <xdr:col>13</xdr:col>
      <xdr:colOff>470646</xdr:colOff>
      <xdr:row>35</xdr:row>
      <xdr:rowOff>22412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14D04454-E8D0-40B6-BD2A-34C81D5AB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2</xdr:row>
      <xdr:rowOff>19050</xdr:rowOff>
    </xdr:from>
    <xdr:to>
      <xdr:col>1</xdr:col>
      <xdr:colOff>1133475</xdr:colOff>
      <xdr:row>5</xdr:row>
      <xdr:rowOff>114300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1D7DA58A-7AB6-49EB-82A7-8712EBE21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447675"/>
          <a:ext cx="666750" cy="666750"/>
        </a:xfrm>
        <a:prstGeom prst="rect">
          <a:avLst/>
        </a:prstGeom>
      </xdr:spPr>
    </xdr:pic>
    <xdr:clientData/>
  </xdr:twoCellAnchor>
  <xdr:twoCellAnchor>
    <xdr:from>
      <xdr:col>0</xdr:col>
      <xdr:colOff>228600</xdr:colOff>
      <xdr:row>5</xdr:row>
      <xdr:rowOff>76200</xdr:rowOff>
    </xdr:from>
    <xdr:to>
      <xdr:col>2</xdr:col>
      <xdr:colOff>0</xdr:colOff>
      <xdr:row>8</xdr:row>
      <xdr:rowOff>47625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9DB408B-1D3E-48DE-A956-24059A19E431}"/>
            </a:ext>
          </a:extLst>
        </xdr:cNvPr>
        <xdr:cNvSpPr/>
      </xdr:nvSpPr>
      <xdr:spPr>
        <a:xfrm>
          <a:off x="228600" y="1076325"/>
          <a:ext cx="1724025" cy="542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chemeClr val="tx1"/>
              </a:solidFill>
            </a:rPr>
            <a:t>Inventory Management</a:t>
          </a:r>
          <a:r>
            <a:rPr lang="en-IN" sz="1400" b="1" baseline="0">
              <a:solidFill>
                <a:schemeClr val="tx1"/>
              </a:solidFill>
            </a:rPr>
            <a:t> System</a:t>
          </a:r>
          <a:endParaRPr lang="en-IN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504825</xdr:colOff>
      <xdr:row>10</xdr:row>
      <xdr:rowOff>19050</xdr:rowOff>
    </xdr:from>
    <xdr:to>
      <xdr:col>2</xdr:col>
      <xdr:colOff>57150</xdr:colOff>
      <xdr:row>11</xdr:row>
      <xdr:rowOff>161925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E9BF1D2-4DC6-4D50-ADC0-69266A487678}"/>
            </a:ext>
          </a:extLst>
        </xdr:cNvPr>
        <xdr:cNvSpPr/>
      </xdr:nvSpPr>
      <xdr:spPr>
        <a:xfrm>
          <a:off x="771525" y="1971675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bg2">
                  <a:lumMod val="50000"/>
                </a:schemeClr>
              </a:solidFill>
            </a:rPr>
            <a:t>Dashboard</a:t>
          </a:r>
        </a:p>
      </xdr:txBody>
    </xdr:sp>
    <xdr:clientData/>
  </xdr:twoCellAnchor>
  <xdr:twoCellAnchor>
    <xdr:from>
      <xdr:col>1</xdr:col>
      <xdr:colOff>504825</xdr:colOff>
      <xdr:row>11</xdr:row>
      <xdr:rowOff>185057</xdr:rowOff>
    </xdr:from>
    <xdr:to>
      <xdr:col>2</xdr:col>
      <xdr:colOff>57150</xdr:colOff>
      <xdr:row>13</xdr:row>
      <xdr:rowOff>137432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8E5687F-DC2B-4CF9-8CD3-D994298C0D8F}"/>
            </a:ext>
          </a:extLst>
        </xdr:cNvPr>
        <xdr:cNvSpPr/>
      </xdr:nvSpPr>
      <xdr:spPr>
        <a:xfrm>
          <a:off x="771525" y="2328182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chemeClr val="tx1"/>
              </a:solidFill>
            </a:rPr>
            <a:t>Customers</a:t>
          </a:r>
        </a:p>
      </xdr:txBody>
    </xdr:sp>
    <xdr:clientData/>
  </xdr:twoCellAnchor>
  <xdr:twoCellAnchor>
    <xdr:from>
      <xdr:col>1</xdr:col>
      <xdr:colOff>504825</xdr:colOff>
      <xdr:row>13</xdr:row>
      <xdr:rowOff>160564</xdr:rowOff>
    </xdr:from>
    <xdr:to>
      <xdr:col>2</xdr:col>
      <xdr:colOff>57150</xdr:colOff>
      <xdr:row>15</xdr:row>
      <xdr:rowOff>112939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0BD14D6-F9C8-4B4E-AB09-9E3EBDDC9D0B}"/>
            </a:ext>
          </a:extLst>
        </xdr:cNvPr>
        <xdr:cNvSpPr/>
      </xdr:nvSpPr>
      <xdr:spPr>
        <a:xfrm>
          <a:off x="771525" y="2684689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>
    <xdr:from>
      <xdr:col>1</xdr:col>
      <xdr:colOff>504825</xdr:colOff>
      <xdr:row>15</xdr:row>
      <xdr:rowOff>136071</xdr:rowOff>
    </xdr:from>
    <xdr:to>
      <xdr:col>2</xdr:col>
      <xdr:colOff>57150</xdr:colOff>
      <xdr:row>17</xdr:row>
      <xdr:rowOff>88446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D1930C9-9C6B-4723-8D75-24B876D99088}"/>
            </a:ext>
          </a:extLst>
        </xdr:cNvPr>
        <xdr:cNvSpPr/>
      </xdr:nvSpPr>
      <xdr:spPr>
        <a:xfrm>
          <a:off x="771525" y="3041196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>
    <xdr:from>
      <xdr:col>1</xdr:col>
      <xdr:colOff>504825</xdr:colOff>
      <xdr:row>17</xdr:row>
      <xdr:rowOff>111578</xdr:rowOff>
    </xdr:from>
    <xdr:to>
      <xdr:col>2</xdr:col>
      <xdr:colOff>57150</xdr:colOff>
      <xdr:row>19</xdr:row>
      <xdr:rowOff>63953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A0D29E9-031B-406F-B5CE-423A1CEF5948}"/>
            </a:ext>
          </a:extLst>
        </xdr:cNvPr>
        <xdr:cNvSpPr/>
      </xdr:nvSpPr>
      <xdr:spPr>
        <a:xfrm>
          <a:off x="771525" y="3397703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>
    <xdr:from>
      <xdr:col>1</xdr:col>
      <xdr:colOff>504825</xdr:colOff>
      <xdr:row>19</xdr:row>
      <xdr:rowOff>87085</xdr:rowOff>
    </xdr:from>
    <xdr:to>
      <xdr:col>2</xdr:col>
      <xdr:colOff>57150</xdr:colOff>
      <xdr:row>21</xdr:row>
      <xdr:rowOff>39460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7715C7C-52FE-4B2E-B8F1-139C4FC730AA}"/>
            </a:ext>
          </a:extLst>
        </xdr:cNvPr>
        <xdr:cNvSpPr/>
      </xdr:nvSpPr>
      <xdr:spPr>
        <a:xfrm>
          <a:off x="771525" y="3754210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>
    <xdr:from>
      <xdr:col>1</xdr:col>
      <xdr:colOff>504825</xdr:colOff>
      <xdr:row>21</xdr:row>
      <xdr:rowOff>62592</xdr:rowOff>
    </xdr:from>
    <xdr:to>
      <xdr:col>2</xdr:col>
      <xdr:colOff>57150</xdr:colOff>
      <xdr:row>23</xdr:row>
      <xdr:rowOff>14967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88EE48C-411B-4951-AE2D-A604C16EBB65}"/>
            </a:ext>
          </a:extLst>
        </xdr:cNvPr>
        <xdr:cNvSpPr/>
      </xdr:nvSpPr>
      <xdr:spPr>
        <a:xfrm>
          <a:off x="771525" y="4110717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>
    <xdr:from>
      <xdr:col>1</xdr:col>
      <xdr:colOff>504825</xdr:colOff>
      <xdr:row>23</xdr:row>
      <xdr:rowOff>38100</xdr:rowOff>
    </xdr:from>
    <xdr:to>
      <xdr:col>2</xdr:col>
      <xdr:colOff>57150</xdr:colOff>
      <xdr:row>24</xdr:row>
      <xdr:rowOff>180975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ECFA591-0247-4A5F-8854-9A02A9612ACB}"/>
            </a:ext>
          </a:extLst>
        </xdr:cNvPr>
        <xdr:cNvSpPr/>
      </xdr:nvSpPr>
      <xdr:spPr>
        <a:xfrm>
          <a:off x="771525" y="4467225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180975</xdr:colOff>
      <xdr:row>10</xdr:row>
      <xdr:rowOff>38100</xdr:rowOff>
    </xdr:from>
    <xdr:to>
      <xdr:col>1</xdr:col>
      <xdr:colOff>511175</xdr:colOff>
      <xdr:row>12</xdr:row>
      <xdr:rowOff>0</xdr:rowOff>
    </xdr:to>
    <xdr:pic>
      <xdr:nvPicPr>
        <xdr:cNvPr id="12" name="Graphic 11" descr="Presentation with bar chart with solid fill">
          <a:extLst>
            <a:ext uri="{FF2B5EF4-FFF2-40B4-BE49-F238E27FC236}">
              <a16:creationId xmlns:a16="http://schemas.microsoft.com/office/drawing/2014/main" id="{88CFBC58-7966-4192-8EB8-7A0D7DAE5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47675" y="2019300"/>
          <a:ext cx="330200" cy="333375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23</xdr:row>
      <xdr:rowOff>44450</xdr:rowOff>
    </xdr:from>
    <xdr:to>
      <xdr:col>1</xdr:col>
      <xdr:colOff>472075</xdr:colOff>
      <xdr:row>24</xdr:row>
      <xdr:rowOff>109125</xdr:rowOff>
    </xdr:to>
    <xdr:pic>
      <xdr:nvPicPr>
        <xdr:cNvPr id="13" name="Graphic 12" descr="Clipboard Partially Checked with solid fill">
          <a:extLst>
            <a:ext uri="{FF2B5EF4-FFF2-40B4-BE49-F238E27FC236}">
              <a16:creationId xmlns:a16="http://schemas.microsoft.com/office/drawing/2014/main" id="{A5F97AB6-AD78-42FC-BF7A-A8DF11B0C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86775" y="4492625"/>
          <a:ext cx="252000" cy="255175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19</xdr:row>
      <xdr:rowOff>111900</xdr:rowOff>
    </xdr:from>
    <xdr:to>
      <xdr:col>1</xdr:col>
      <xdr:colOff>472075</xdr:colOff>
      <xdr:row>20</xdr:row>
      <xdr:rowOff>176575</xdr:rowOff>
    </xdr:to>
    <xdr:pic>
      <xdr:nvPicPr>
        <xdr:cNvPr id="14" name="Graphic 13" descr="Receipt with solid fill">
          <a:extLst>
            <a:ext uri="{FF2B5EF4-FFF2-40B4-BE49-F238E27FC236}">
              <a16:creationId xmlns:a16="http://schemas.microsoft.com/office/drawing/2014/main" id="{4635D39D-E458-47B9-956E-A5D92C52C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86775" y="3798075"/>
          <a:ext cx="252000" cy="255175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21</xdr:row>
      <xdr:rowOff>77750</xdr:rowOff>
    </xdr:from>
    <xdr:to>
      <xdr:col>1</xdr:col>
      <xdr:colOff>472075</xdr:colOff>
      <xdr:row>22</xdr:row>
      <xdr:rowOff>142425</xdr:rowOff>
    </xdr:to>
    <xdr:pic>
      <xdr:nvPicPr>
        <xdr:cNvPr id="15" name="Graphic 14" descr="Register with solid fill">
          <a:extLst>
            <a:ext uri="{FF2B5EF4-FFF2-40B4-BE49-F238E27FC236}">
              <a16:creationId xmlns:a16="http://schemas.microsoft.com/office/drawing/2014/main" id="{14F41D8A-DBDB-414F-A846-0A4F086A1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86775" y="4144925"/>
          <a:ext cx="252000" cy="255175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17</xdr:row>
      <xdr:rowOff>151550</xdr:rowOff>
    </xdr:from>
    <xdr:to>
      <xdr:col>1</xdr:col>
      <xdr:colOff>472075</xdr:colOff>
      <xdr:row>19</xdr:row>
      <xdr:rowOff>22550</xdr:rowOff>
    </xdr:to>
    <xdr:pic>
      <xdr:nvPicPr>
        <xdr:cNvPr id="16" name="Graphic 15" descr="Full Brick Wall with solid fill">
          <a:extLst>
            <a:ext uri="{FF2B5EF4-FFF2-40B4-BE49-F238E27FC236}">
              <a16:creationId xmlns:a16="http://schemas.microsoft.com/office/drawing/2014/main" id="{09ED687D-8C75-4F67-BA31-9072FB20C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86775" y="3456725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12</xdr:row>
      <xdr:rowOff>31675</xdr:rowOff>
    </xdr:from>
    <xdr:to>
      <xdr:col>1</xdr:col>
      <xdr:colOff>472075</xdr:colOff>
      <xdr:row>13</xdr:row>
      <xdr:rowOff>93175</xdr:rowOff>
    </xdr:to>
    <xdr:pic>
      <xdr:nvPicPr>
        <xdr:cNvPr id="17" name="Graphic 16" descr="User with solid fill">
          <a:extLst>
            <a:ext uri="{FF2B5EF4-FFF2-40B4-BE49-F238E27FC236}">
              <a16:creationId xmlns:a16="http://schemas.microsoft.com/office/drawing/2014/main" id="{494116F8-9542-4A89-80EB-C71836B42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86775" y="2384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15</xdr:row>
      <xdr:rowOff>121350</xdr:rowOff>
    </xdr:from>
    <xdr:to>
      <xdr:col>1</xdr:col>
      <xdr:colOff>472075</xdr:colOff>
      <xdr:row>16</xdr:row>
      <xdr:rowOff>182850</xdr:rowOff>
    </xdr:to>
    <xdr:pic>
      <xdr:nvPicPr>
        <xdr:cNvPr id="18" name="Graphic 17" descr="User outline">
          <a:extLst>
            <a:ext uri="{FF2B5EF4-FFF2-40B4-BE49-F238E27FC236}">
              <a16:creationId xmlns:a16="http://schemas.microsoft.com/office/drawing/2014/main" id="{20F621F8-9248-49C7-BEE7-D8876682E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86775" y="3045525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13</xdr:row>
      <xdr:rowOff>155575</xdr:rowOff>
    </xdr:from>
    <xdr:to>
      <xdr:col>1</xdr:col>
      <xdr:colOff>472075</xdr:colOff>
      <xdr:row>15</xdr:row>
      <xdr:rowOff>26575</xdr:rowOff>
    </xdr:to>
    <xdr:pic>
      <xdr:nvPicPr>
        <xdr:cNvPr id="19" name="Graphic 18" descr="Inventory outline">
          <a:extLst>
            <a:ext uri="{FF2B5EF4-FFF2-40B4-BE49-F238E27FC236}">
              <a16:creationId xmlns:a16="http://schemas.microsoft.com/office/drawing/2014/main" id="{B71E0A21-6C79-413C-AB7E-3E6D58E9A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86775" y="26987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28575</xdr:rowOff>
    </xdr:from>
    <xdr:to>
      <xdr:col>19</xdr:col>
      <xdr:colOff>28575</xdr:colOff>
      <xdr:row>4</xdr:row>
      <xdr:rowOff>85725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CDD8B87A-0080-4B62-BEDE-E8DEAFF3AC8D}"/>
            </a:ext>
          </a:extLst>
        </xdr:cNvPr>
        <xdr:cNvSpPr/>
      </xdr:nvSpPr>
      <xdr:spPr>
        <a:xfrm>
          <a:off x="2190750" y="266700"/>
          <a:ext cx="9782175" cy="62865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3200" b="1">
              <a:solidFill>
                <a:schemeClr val="tx1"/>
              </a:solidFill>
            </a:rPr>
            <a:t>   Customers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2</xdr:row>
      <xdr:rowOff>19050</xdr:rowOff>
    </xdr:from>
    <xdr:to>
      <xdr:col>1</xdr:col>
      <xdr:colOff>1133475</xdr:colOff>
      <xdr:row>5</xdr:row>
      <xdr:rowOff>114300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C9556492-3792-428B-9BC1-D97A8C952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447675"/>
          <a:ext cx="666750" cy="666750"/>
        </a:xfrm>
        <a:prstGeom prst="rect">
          <a:avLst/>
        </a:prstGeom>
      </xdr:spPr>
    </xdr:pic>
    <xdr:clientData/>
  </xdr:twoCellAnchor>
  <xdr:twoCellAnchor>
    <xdr:from>
      <xdr:col>0</xdr:col>
      <xdr:colOff>228600</xdr:colOff>
      <xdr:row>5</xdr:row>
      <xdr:rowOff>76200</xdr:rowOff>
    </xdr:from>
    <xdr:to>
      <xdr:col>2</xdr:col>
      <xdr:colOff>0</xdr:colOff>
      <xdr:row>8</xdr:row>
      <xdr:rowOff>47625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CF2A140-EB47-43D4-A532-137310D2B1B4}"/>
            </a:ext>
          </a:extLst>
        </xdr:cNvPr>
        <xdr:cNvSpPr/>
      </xdr:nvSpPr>
      <xdr:spPr>
        <a:xfrm>
          <a:off x="228600" y="1076325"/>
          <a:ext cx="1724025" cy="542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chemeClr val="tx1"/>
              </a:solidFill>
            </a:rPr>
            <a:t>Inventory Management</a:t>
          </a:r>
          <a:r>
            <a:rPr lang="en-IN" sz="1400" b="1" baseline="0">
              <a:solidFill>
                <a:schemeClr val="tx1"/>
              </a:solidFill>
            </a:rPr>
            <a:t> System</a:t>
          </a:r>
          <a:endParaRPr lang="en-IN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504825</xdr:colOff>
      <xdr:row>10</xdr:row>
      <xdr:rowOff>19050</xdr:rowOff>
    </xdr:from>
    <xdr:to>
      <xdr:col>2</xdr:col>
      <xdr:colOff>57150</xdr:colOff>
      <xdr:row>11</xdr:row>
      <xdr:rowOff>161925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67BBE3F-60E7-44FB-8A8A-E5CCBB775FFF}"/>
            </a:ext>
          </a:extLst>
        </xdr:cNvPr>
        <xdr:cNvSpPr/>
      </xdr:nvSpPr>
      <xdr:spPr>
        <a:xfrm>
          <a:off x="771525" y="1971675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bg2">
                  <a:lumMod val="50000"/>
                </a:schemeClr>
              </a:solidFill>
            </a:rPr>
            <a:t>Dashboard</a:t>
          </a:r>
        </a:p>
      </xdr:txBody>
    </xdr:sp>
    <xdr:clientData/>
  </xdr:twoCellAnchor>
  <xdr:twoCellAnchor>
    <xdr:from>
      <xdr:col>1</xdr:col>
      <xdr:colOff>504825</xdr:colOff>
      <xdr:row>11</xdr:row>
      <xdr:rowOff>185057</xdr:rowOff>
    </xdr:from>
    <xdr:to>
      <xdr:col>2</xdr:col>
      <xdr:colOff>57150</xdr:colOff>
      <xdr:row>13</xdr:row>
      <xdr:rowOff>137432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90AC8DD-24B4-4FF0-9190-8FAAF6C8706A}"/>
            </a:ext>
          </a:extLst>
        </xdr:cNvPr>
        <xdr:cNvSpPr/>
      </xdr:nvSpPr>
      <xdr:spPr>
        <a:xfrm>
          <a:off x="771525" y="2328182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>
    <xdr:from>
      <xdr:col>1</xdr:col>
      <xdr:colOff>504825</xdr:colOff>
      <xdr:row>13</xdr:row>
      <xdr:rowOff>160564</xdr:rowOff>
    </xdr:from>
    <xdr:to>
      <xdr:col>2</xdr:col>
      <xdr:colOff>57150</xdr:colOff>
      <xdr:row>15</xdr:row>
      <xdr:rowOff>112939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6345083-A898-43C4-A66D-CACB64755177}"/>
            </a:ext>
          </a:extLst>
        </xdr:cNvPr>
        <xdr:cNvSpPr/>
      </xdr:nvSpPr>
      <xdr:spPr>
        <a:xfrm>
          <a:off x="771525" y="2684689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chemeClr val="tx1"/>
              </a:solidFill>
            </a:rPr>
            <a:t>Products</a:t>
          </a:r>
        </a:p>
      </xdr:txBody>
    </xdr:sp>
    <xdr:clientData/>
  </xdr:twoCellAnchor>
  <xdr:twoCellAnchor>
    <xdr:from>
      <xdr:col>1</xdr:col>
      <xdr:colOff>504825</xdr:colOff>
      <xdr:row>15</xdr:row>
      <xdr:rowOff>136071</xdr:rowOff>
    </xdr:from>
    <xdr:to>
      <xdr:col>2</xdr:col>
      <xdr:colOff>57150</xdr:colOff>
      <xdr:row>17</xdr:row>
      <xdr:rowOff>88446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D4ACEE8-46A1-4518-B4F5-085AFEC3EA23}"/>
            </a:ext>
          </a:extLst>
        </xdr:cNvPr>
        <xdr:cNvSpPr/>
      </xdr:nvSpPr>
      <xdr:spPr>
        <a:xfrm>
          <a:off x="771525" y="3041196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>
    <xdr:from>
      <xdr:col>1</xdr:col>
      <xdr:colOff>504825</xdr:colOff>
      <xdr:row>17</xdr:row>
      <xdr:rowOff>111578</xdr:rowOff>
    </xdr:from>
    <xdr:to>
      <xdr:col>2</xdr:col>
      <xdr:colOff>57150</xdr:colOff>
      <xdr:row>19</xdr:row>
      <xdr:rowOff>63953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9034128-E112-4ED2-B254-AFC02D6E6695}"/>
            </a:ext>
          </a:extLst>
        </xdr:cNvPr>
        <xdr:cNvSpPr/>
      </xdr:nvSpPr>
      <xdr:spPr>
        <a:xfrm>
          <a:off x="771525" y="3397703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>
    <xdr:from>
      <xdr:col>1</xdr:col>
      <xdr:colOff>504825</xdr:colOff>
      <xdr:row>19</xdr:row>
      <xdr:rowOff>87085</xdr:rowOff>
    </xdr:from>
    <xdr:to>
      <xdr:col>2</xdr:col>
      <xdr:colOff>57150</xdr:colOff>
      <xdr:row>21</xdr:row>
      <xdr:rowOff>39460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1D2DBEE-12ED-4CEE-A835-1859BA89EEBE}"/>
            </a:ext>
          </a:extLst>
        </xdr:cNvPr>
        <xdr:cNvSpPr/>
      </xdr:nvSpPr>
      <xdr:spPr>
        <a:xfrm>
          <a:off x="771525" y="3754210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>
    <xdr:from>
      <xdr:col>1</xdr:col>
      <xdr:colOff>504825</xdr:colOff>
      <xdr:row>21</xdr:row>
      <xdr:rowOff>62592</xdr:rowOff>
    </xdr:from>
    <xdr:to>
      <xdr:col>2</xdr:col>
      <xdr:colOff>57150</xdr:colOff>
      <xdr:row>23</xdr:row>
      <xdr:rowOff>14967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9F056C8-2BAA-451D-91AD-5AC4CE994EE7}"/>
            </a:ext>
          </a:extLst>
        </xdr:cNvPr>
        <xdr:cNvSpPr/>
      </xdr:nvSpPr>
      <xdr:spPr>
        <a:xfrm>
          <a:off x="771525" y="4110717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>
    <xdr:from>
      <xdr:col>1</xdr:col>
      <xdr:colOff>504825</xdr:colOff>
      <xdr:row>23</xdr:row>
      <xdr:rowOff>38100</xdr:rowOff>
    </xdr:from>
    <xdr:to>
      <xdr:col>2</xdr:col>
      <xdr:colOff>57150</xdr:colOff>
      <xdr:row>24</xdr:row>
      <xdr:rowOff>180975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3488534-F3BA-4341-B065-E0BE25180DB4}"/>
            </a:ext>
          </a:extLst>
        </xdr:cNvPr>
        <xdr:cNvSpPr/>
      </xdr:nvSpPr>
      <xdr:spPr>
        <a:xfrm>
          <a:off x="771525" y="4467225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180975</xdr:colOff>
      <xdr:row>10</xdr:row>
      <xdr:rowOff>66675</xdr:rowOff>
    </xdr:from>
    <xdr:to>
      <xdr:col>1</xdr:col>
      <xdr:colOff>511175</xdr:colOff>
      <xdr:row>12</xdr:row>
      <xdr:rowOff>19050</xdr:rowOff>
    </xdr:to>
    <xdr:pic>
      <xdr:nvPicPr>
        <xdr:cNvPr id="12" name="Graphic 11" descr="Presentation with bar chart with solid fill">
          <a:extLst>
            <a:ext uri="{FF2B5EF4-FFF2-40B4-BE49-F238E27FC236}">
              <a16:creationId xmlns:a16="http://schemas.microsoft.com/office/drawing/2014/main" id="{60DDF551-259E-4442-B904-A3CA77345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47675" y="2019300"/>
          <a:ext cx="330200" cy="333375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23</xdr:row>
      <xdr:rowOff>92075</xdr:rowOff>
    </xdr:from>
    <xdr:to>
      <xdr:col>1</xdr:col>
      <xdr:colOff>472075</xdr:colOff>
      <xdr:row>24</xdr:row>
      <xdr:rowOff>156750</xdr:rowOff>
    </xdr:to>
    <xdr:pic>
      <xdr:nvPicPr>
        <xdr:cNvPr id="13" name="Graphic 12" descr="Clipboard Partially Checked with solid fill">
          <a:extLst>
            <a:ext uri="{FF2B5EF4-FFF2-40B4-BE49-F238E27FC236}">
              <a16:creationId xmlns:a16="http://schemas.microsoft.com/office/drawing/2014/main" id="{0C3B9E30-1639-4660-B3C3-D34F728C4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86775" y="4492625"/>
          <a:ext cx="252000" cy="255175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19</xdr:row>
      <xdr:rowOff>130950</xdr:rowOff>
    </xdr:from>
    <xdr:to>
      <xdr:col>1</xdr:col>
      <xdr:colOff>472075</xdr:colOff>
      <xdr:row>21</xdr:row>
      <xdr:rowOff>33700</xdr:rowOff>
    </xdr:to>
    <xdr:pic>
      <xdr:nvPicPr>
        <xdr:cNvPr id="14" name="Graphic 13" descr="Receipt with solid fill">
          <a:extLst>
            <a:ext uri="{FF2B5EF4-FFF2-40B4-BE49-F238E27FC236}">
              <a16:creationId xmlns:a16="http://schemas.microsoft.com/office/drawing/2014/main" id="{9C4FB2A9-3F6A-4777-831D-A564D2FA5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86775" y="3798075"/>
          <a:ext cx="252000" cy="255175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21</xdr:row>
      <xdr:rowOff>125375</xdr:rowOff>
    </xdr:from>
    <xdr:to>
      <xdr:col>1</xdr:col>
      <xdr:colOff>472075</xdr:colOff>
      <xdr:row>22</xdr:row>
      <xdr:rowOff>190050</xdr:rowOff>
    </xdr:to>
    <xdr:pic>
      <xdr:nvPicPr>
        <xdr:cNvPr id="15" name="Graphic 14" descr="Register with solid fill">
          <a:extLst>
            <a:ext uri="{FF2B5EF4-FFF2-40B4-BE49-F238E27FC236}">
              <a16:creationId xmlns:a16="http://schemas.microsoft.com/office/drawing/2014/main" id="{302BB880-004A-4B75-A804-53525272E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86775" y="4144925"/>
          <a:ext cx="252000" cy="255175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17</xdr:row>
      <xdr:rowOff>170600</xdr:rowOff>
    </xdr:from>
    <xdr:to>
      <xdr:col>1</xdr:col>
      <xdr:colOff>472075</xdr:colOff>
      <xdr:row>19</xdr:row>
      <xdr:rowOff>41600</xdr:rowOff>
    </xdr:to>
    <xdr:pic>
      <xdr:nvPicPr>
        <xdr:cNvPr id="16" name="Graphic 15" descr="Full Brick Wall with solid fill">
          <a:extLst>
            <a:ext uri="{FF2B5EF4-FFF2-40B4-BE49-F238E27FC236}">
              <a16:creationId xmlns:a16="http://schemas.microsoft.com/office/drawing/2014/main" id="{493A656D-F377-468E-8184-6F5E00D0F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86775" y="3456725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12</xdr:row>
      <xdr:rowOff>50725</xdr:rowOff>
    </xdr:from>
    <xdr:to>
      <xdr:col>1</xdr:col>
      <xdr:colOff>472075</xdr:colOff>
      <xdr:row>13</xdr:row>
      <xdr:rowOff>112225</xdr:rowOff>
    </xdr:to>
    <xdr:pic>
      <xdr:nvPicPr>
        <xdr:cNvPr id="17" name="Graphic 16" descr="User with solid fill">
          <a:extLst>
            <a:ext uri="{FF2B5EF4-FFF2-40B4-BE49-F238E27FC236}">
              <a16:creationId xmlns:a16="http://schemas.microsoft.com/office/drawing/2014/main" id="{9F10FCE1-134C-4779-998B-4CD396C89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86775" y="2384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15</xdr:row>
      <xdr:rowOff>140400</xdr:rowOff>
    </xdr:from>
    <xdr:to>
      <xdr:col>1</xdr:col>
      <xdr:colOff>472075</xdr:colOff>
      <xdr:row>17</xdr:row>
      <xdr:rowOff>11400</xdr:rowOff>
    </xdr:to>
    <xdr:pic>
      <xdr:nvPicPr>
        <xdr:cNvPr id="18" name="Graphic 17" descr="User outline">
          <a:extLst>
            <a:ext uri="{FF2B5EF4-FFF2-40B4-BE49-F238E27FC236}">
              <a16:creationId xmlns:a16="http://schemas.microsoft.com/office/drawing/2014/main" id="{1C379B93-2E97-4E51-88A4-3D3103275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86775" y="3045525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13</xdr:row>
      <xdr:rowOff>174625</xdr:rowOff>
    </xdr:from>
    <xdr:to>
      <xdr:col>1</xdr:col>
      <xdr:colOff>472075</xdr:colOff>
      <xdr:row>15</xdr:row>
      <xdr:rowOff>45625</xdr:rowOff>
    </xdr:to>
    <xdr:pic>
      <xdr:nvPicPr>
        <xdr:cNvPr id="19" name="Graphic 18" descr="Inventory outline">
          <a:extLst>
            <a:ext uri="{FF2B5EF4-FFF2-40B4-BE49-F238E27FC236}">
              <a16:creationId xmlns:a16="http://schemas.microsoft.com/office/drawing/2014/main" id="{6ABA8ADA-EDF0-492B-91E4-7851EC3BE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86775" y="26987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2</xdr:col>
      <xdr:colOff>161925</xdr:colOff>
      <xdr:row>1</xdr:row>
      <xdr:rowOff>28575</xdr:rowOff>
    </xdr:from>
    <xdr:to>
      <xdr:col>15</xdr:col>
      <xdr:colOff>190500</xdr:colOff>
      <xdr:row>4</xdr:row>
      <xdr:rowOff>85725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5EEE41A-FCFE-4003-9CBF-5513CFABDC08}"/>
            </a:ext>
          </a:extLst>
        </xdr:cNvPr>
        <xdr:cNvSpPr/>
      </xdr:nvSpPr>
      <xdr:spPr>
        <a:xfrm>
          <a:off x="2114550" y="266700"/>
          <a:ext cx="10229850" cy="62865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3200" b="1">
              <a:solidFill>
                <a:schemeClr val="tx1"/>
              </a:solidFill>
            </a:rPr>
            <a:t>   Products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2</xdr:row>
      <xdr:rowOff>19050</xdr:rowOff>
    </xdr:from>
    <xdr:to>
      <xdr:col>1</xdr:col>
      <xdr:colOff>1133475</xdr:colOff>
      <xdr:row>5</xdr:row>
      <xdr:rowOff>114300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5348DC2B-33E0-4DD2-B00C-B8585EBA3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447675"/>
          <a:ext cx="666750" cy="666750"/>
        </a:xfrm>
        <a:prstGeom prst="rect">
          <a:avLst/>
        </a:prstGeom>
      </xdr:spPr>
    </xdr:pic>
    <xdr:clientData/>
  </xdr:twoCellAnchor>
  <xdr:twoCellAnchor>
    <xdr:from>
      <xdr:col>0</xdr:col>
      <xdr:colOff>228600</xdr:colOff>
      <xdr:row>5</xdr:row>
      <xdr:rowOff>76200</xdr:rowOff>
    </xdr:from>
    <xdr:to>
      <xdr:col>2</xdr:col>
      <xdr:colOff>0</xdr:colOff>
      <xdr:row>8</xdr:row>
      <xdr:rowOff>47625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9AEDB12-CAD7-4CE7-B22A-E29122E5B353}"/>
            </a:ext>
          </a:extLst>
        </xdr:cNvPr>
        <xdr:cNvSpPr/>
      </xdr:nvSpPr>
      <xdr:spPr>
        <a:xfrm>
          <a:off x="228600" y="1076325"/>
          <a:ext cx="1724025" cy="542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chemeClr val="tx1"/>
              </a:solidFill>
            </a:rPr>
            <a:t>Inventory Management</a:t>
          </a:r>
          <a:r>
            <a:rPr lang="en-IN" sz="1400" b="1" baseline="0">
              <a:solidFill>
                <a:schemeClr val="tx1"/>
              </a:solidFill>
            </a:rPr>
            <a:t> System</a:t>
          </a:r>
          <a:endParaRPr lang="en-IN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504825</xdr:colOff>
      <xdr:row>10</xdr:row>
      <xdr:rowOff>19050</xdr:rowOff>
    </xdr:from>
    <xdr:to>
      <xdr:col>2</xdr:col>
      <xdr:colOff>57150</xdr:colOff>
      <xdr:row>11</xdr:row>
      <xdr:rowOff>161925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A09E2F5-F393-4883-9929-ED1A906A5F95}"/>
            </a:ext>
          </a:extLst>
        </xdr:cNvPr>
        <xdr:cNvSpPr/>
      </xdr:nvSpPr>
      <xdr:spPr>
        <a:xfrm>
          <a:off x="771525" y="1971675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bg2">
                  <a:lumMod val="50000"/>
                </a:schemeClr>
              </a:solidFill>
            </a:rPr>
            <a:t>Dashboard</a:t>
          </a:r>
        </a:p>
      </xdr:txBody>
    </xdr:sp>
    <xdr:clientData/>
  </xdr:twoCellAnchor>
  <xdr:twoCellAnchor>
    <xdr:from>
      <xdr:col>1</xdr:col>
      <xdr:colOff>504825</xdr:colOff>
      <xdr:row>11</xdr:row>
      <xdr:rowOff>185057</xdr:rowOff>
    </xdr:from>
    <xdr:to>
      <xdr:col>2</xdr:col>
      <xdr:colOff>57150</xdr:colOff>
      <xdr:row>13</xdr:row>
      <xdr:rowOff>137432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97C0C8C-72DA-4C80-A8FC-69334724C648}"/>
            </a:ext>
          </a:extLst>
        </xdr:cNvPr>
        <xdr:cNvSpPr/>
      </xdr:nvSpPr>
      <xdr:spPr>
        <a:xfrm>
          <a:off x="771525" y="2328182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>
    <xdr:from>
      <xdr:col>1</xdr:col>
      <xdr:colOff>504825</xdr:colOff>
      <xdr:row>13</xdr:row>
      <xdr:rowOff>160564</xdr:rowOff>
    </xdr:from>
    <xdr:to>
      <xdr:col>2</xdr:col>
      <xdr:colOff>57150</xdr:colOff>
      <xdr:row>15</xdr:row>
      <xdr:rowOff>112939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79F57A6-943A-4A13-B75C-FAB1B92E2520}"/>
            </a:ext>
          </a:extLst>
        </xdr:cNvPr>
        <xdr:cNvSpPr/>
      </xdr:nvSpPr>
      <xdr:spPr>
        <a:xfrm>
          <a:off x="771525" y="2684689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>
    <xdr:from>
      <xdr:col>1</xdr:col>
      <xdr:colOff>504825</xdr:colOff>
      <xdr:row>15</xdr:row>
      <xdr:rowOff>136071</xdr:rowOff>
    </xdr:from>
    <xdr:to>
      <xdr:col>2</xdr:col>
      <xdr:colOff>57150</xdr:colOff>
      <xdr:row>17</xdr:row>
      <xdr:rowOff>88446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EA08AE8-CD3A-480D-9D37-AD4CEB87046D}"/>
            </a:ext>
          </a:extLst>
        </xdr:cNvPr>
        <xdr:cNvSpPr/>
      </xdr:nvSpPr>
      <xdr:spPr>
        <a:xfrm>
          <a:off x="771525" y="3041196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chemeClr val="tx1"/>
              </a:solidFill>
            </a:rPr>
            <a:t>Vendors</a:t>
          </a:r>
        </a:p>
      </xdr:txBody>
    </xdr:sp>
    <xdr:clientData/>
  </xdr:twoCellAnchor>
  <xdr:twoCellAnchor>
    <xdr:from>
      <xdr:col>1</xdr:col>
      <xdr:colOff>504825</xdr:colOff>
      <xdr:row>17</xdr:row>
      <xdr:rowOff>111578</xdr:rowOff>
    </xdr:from>
    <xdr:to>
      <xdr:col>2</xdr:col>
      <xdr:colOff>57150</xdr:colOff>
      <xdr:row>19</xdr:row>
      <xdr:rowOff>63953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964AAE7-1FA1-4FD4-873A-17FEEE8EB43F}"/>
            </a:ext>
          </a:extLst>
        </xdr:cNvPr>
        <xdr:cNvSpPr/>
      </xdr:nvSpPr>
      <xdr:spPr>
        <a:xfrm>
          <a:off x="771525" y="3397703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>
    <xdr:from>
      <xdr:col>1</xdr:col>
      <xdr:colOff>504825</xdr:colOff>
      <xdr:row>19</xdr:row>
      <xdr:rowOff>87085</xdr:rowOff>
    </xdr:from>
    <xdr:to>
      <xdr:col>2</xdr:col>
      <xdr:colOff>57150</xdr:colOff>
      <xdr:row>21</xdr:row>
      <xdr:rowOff>39460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7F8727B-01EE-44BB-AA92-60C5AF24503E}"/>
            </a:ext>
          </a:extLst>
        </xdr:cNvPr>
        <xdr:cNvSpPr/>
      </xdr:nvSpPr>
      <xdr:spPr>
        <a:xfrm>
          <a:off x="771525" y="3754210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>
    <xdr:from>
      <xdr:col>1</xdr:col>
      <xdr:colOff>504825</xdr:colOff>
      <xdr:row>21</xdr:row>
      <xdr:rowOff>62592</xdr:rowOff>
    </xdr:from>
    <xdr:to>
      <xdr:col>2</xdr:col>
      <xdr:colOff>57150</xdr:colOff>
      <xdr:row>23</xdr:row>
      <xdr:rowOff>14967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11C42CB-7D69-407A-9A5A-3CBE282181CA}"/>
            </a:ext>
          </a:extLst>
        </xdr:cNvPr>
        <xdr:cNvSpPr/>
      </xdr:nvSpPr>
      <xdr:spPr>
        <a:xfrm>
          <a:off x="771525" y="4110717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>
    <xdr:from>
      <xdr:col>1</xdr:col>
      <xdr:colOff>504825</xdr:colOff>
      <xdr:row>23</xdr:row>
      <xdr:rowOff>38100</xdr:rowOff>
    </xdr:from>
    <xdr:to>
      <xdr:col>2</xdr:col>
      <xdr:colOff>57150</xdr:colOff>
      <xdr:row>24</xdr:row>
      <xdr:rowOff>180975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4A0042F-F6A7-4E04-A2C3-606A9D1165F8}"/>
            </a:ext>
          </a:extLst>
        </xdr:cNvPr>
        <xdr:cNvSpPr/>
      </xdr:nvSpPr>
      <xdr:spPr>
        <a:xfrm>
          <a:off x="771525" y="4467225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180975</xdr:colOff>
      <xdr:row>10</xdr:row>
      <xdr:rowOff>73398</xdr:rowOff>
    </xdr:from>
    <xdr:to>
      <xdr:col>1</xdr:col>
      <xdr:colOff>511175</xdr:colOff>
      <xdr:row>12</xdr:row>
      <xdr:rowOff>28014</xdr:rowOff>
    </xdr:to>
    <xdr:pic>
      <xdr:nvPicPr>
        <xdr:cNvPr id="12" name="Graphic 11" descr="Presentation with bar chart with solid fill">
          <a:extLst>
            <a:ext uri="{FF2B5EF4-FFF2-40B4-BE49-F238E27FC236}">
              <a16:creationId xmlns:a16="http://schemas.microsoft.com/office/drawing/2014/main" id="{82C2198F-C6F3-4DE6-AA96-381697350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47675" y="2019300"/>
          <a:ext cx="330200" cy="333375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23</xdr:row>
      <xdr:rowOff>88152</xdr:rowOff>
    </xdr:from>
    <xdr:to>
      <xdr:col>1</xdr:col>
      <xdr:colOff>472075</xdr:colOff>
      <xdr:row>24</xdr:row>
      <xdr:rowOff>152827</xdr:rowOff>
    </xdr:to>
    <xdr:pic>
      <xdr:nvPicPr>
        <xdr:cNvPr id="13" name="Graphic 12" descr="Clipboard Partially Checked with solid fill">
          <a:extLst>
            <a:ext uri="{FF2B5EF4-FFF2-40B4-BE49-F238E27FC236}">
              <a16:creationId xmlns:a16="http://schemas.microsoft.com/office/drawing/2014/main" id="{2E82744E-65D1-4CF7-B7A2-924037D8B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86775" y="4492625"/>
          <a:ext cx="252000" cy="255175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19</xdr:row>
      <xdr:rowOff>151120</xdr:rowOff>
    </xdr:from>
    <xdr:to>
      <xdr:col>1</xdr:col>
      <xdr:colOff>472075</xdr:colOff>
      <xdr:row>21</xdr:row>
      <xdr:rowOff>27536</xdr:rowOff>
    </xdr:to>
    <xdr:pic>
      <xdr:nvPicPr>
        <xdr:cNvPr id="14" name="Graphic 13" descr="Receipt with solid fill">
          <a:extLst>
            <a:ext uri="{FF2B5EF4-FFF2-40B4-BE49-F238E27FC236}">
              <a16:creationId xmlns:a16="http://schemas.microsoft.com/office/drawing/2014/main" id="{E09CA15B-10D6-476F-8474-AA2CD7DA9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86775" y="3798075"/>
          <a:ext cx="252000" cy="255175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21</xdr:row>
      <xdr:rowOff>121452</xdr:rowOff>
    </xdr:from>
    <xdr:to>
      <xdr:col>1</xdr:col>
      <xdr:colOff>472075</xdr:colOff>
      <xdr:row>22</xdr:row>
      <xdr:rowOff>186127</xdr:rowOff>
    </xdr:to>
    <xdr:pic>
      <xdr:nvPicPr>
        <xdr:cNvPr id="15" name="Graphic 14" descr="Register with solid fill">
          <a:extLst>
            <a:ext uri="{FF2B5EF4-FFF2-40B4-BE49-F238E27FC236}">
              <a16:creationId xmlns:a16="http://schemas.microsoft.com/office/drawing/2014/main" id="{EDCDE268-C075-40D5-8644-C788F81C2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86775" y="4144925"/>
          <a:ext cx="252000" cy="255175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17</xdr:row>
      <xdr:rowOff>188529</xdr:rowOff>
    </xdr:from>
    <xdr:to>
      <xdr:col>1</xdr:col>
      <xdr:colOff>472075</xdr:colOff>
      <xdr:row>19</xdr:row>
      <xdr:rowOff>61770</xdr:rowOff>
    </xdr:to>
    <xdr:pic>
      <xdr:nvPicPr>
        <xdr:cNvPr id="16" name="Graphic 15" descr="Full Brick Wall with solid fill">
          <a:extLst>
            <a:ext uri="{FF2B5EF4-FFF2-40B4-BE49-F238E27FC236}">
              <a16:creationId xmlns:a16="http://schemas.microsoft.com/office/drawing/2014/main" id="{9DC62D60-B6B1-4FD0-860E-80C6DA983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86775" y="3456725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12</xdr:row>
      <xdr:rowOff>59689</xdr:rowOff>
    </xdr:from>
    <xdr:to>
      <xdr:col>1</xdr:col>
      <xdr:colOff>472075</xdr:colOff>
      <xdr:row>13</xdr:row>
      <xdr:rowOff>123430</xdr:rowOff>
    </xdr:to>
    <xdr:pic>
      <xdr:nvPicPr>
        <xdr:cNvPr id="17" name="Graphic 16" descr="User with solid fill">
          <a:extLst>
            <a:ext uri="{FF2B5EF4-FFF2-40B4-BE49-F238E27FC236}">
              <a16:creationId xmlns:a16="http://schemas.microsoft.com/office/drawing/2014/main" id="{BECE4FB3-468F-4B65-80E7-F1263F17B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86775" y="2384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15</xdr:row>
      <xdr:rowOff>153847</xdr:rowOff>
    </xdr:from>
    <xdr:to>
      <xdr:col>1</xdr:col>
      <xdr:colOff>472075</xdr:colOff>
      <xdr:row>17</xdr:row>
      <xdr:rowOff>27088</xdr:rowOff>
    </xdr:to>
    <xdr:pic>
      <xdr:nvPicPr>
        <xdr:cNvPr id="18" name="Graphic 17" descr="User outline">
          <a:extLst>
            <a:ext uri="{FF2B5EF4-FFF2-40B4-BE49-F238E27FC236}">
              <a16:creationId xmlns:a16="http://schemas.microsoft.com/office/drawing/2014/main" id="{E9828D78-2FC8-498B-AD1F-8DA2C3DDF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86775" y="3045525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13</xdr:row>
      <xdr:rowOff>185830</xdr:rowOff>
    </xdr:from>
    <xdr:to>
      <xdr:col>1</xdr:col>
      <xdr:colOff>472075</xdr:colOff>
      <xdr:row>15</xdr:row>
      <xdr:rowOff>59072</xdr:rowOff>
    </xdr:to>
    <xdr:pic>
      <xdr:nvPicPr>
        <xdr:cNvPr id="19" name="Graphic 18" descr="Inventory outline">
          <a:extLst>
            <a:ext uri="{FF2B5EF4-FFF2-40B4-BE49-F238E27FC236}">
              <a16:creationId xmlns:a16="http://schemas.microsoft.com/office/drawing/2014/main" id="{05EEDADF-E0AC-498C-8084-4CBB17BF0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86775" y="26987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28575</xdr:rowOff>
    </xdr:from>
    <xdr:to>
      <xdr:col>11</xdr:col>
      <xdr:colOff>510428</xdr:colOff>
      <xdr:row>4</xdr:row>
      <xdr:rowOff>85725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CAF53B95-77BD-4B45-8127-D6E03000B1D0}"/>
            </a:ext>
          </a:extLst>
        </xdr:cNvPr>
        <xdr:cNvSpPr/>
      </xdr:nvSpPr>
      <xdr:spPr>
        <a:xfrm>
          <a:off x="2114550" y="266700"/>
          <a:ext cx="10229850" cy="62865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3200" b="1">
              <a:solidFill>
                <a:schemeClr val="tx1"/>
              </a:solidFill>
            </a:rPr>
            <a:t>   Vendors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2</xdr:row>
      <xdr:rowOff>19050</xdr:rowOff>
    </xdr:from>
    <xdr:to>
      <xdr:col>1</xdr:col>
      <xdr:colOff>1133475</xdr:colOff>
      <xdr:row>5</xdr:row>
      <xdr:rowOff>114300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999D07FA-F51C-4726-9F70-BDD82D4F0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447675"/>
          <a:ext cx="666750" cy="666750"/>
        </a:xfrm>
        <a:prstGeom prst="rect">
          <a:avLst/>
        </a:prstGeom>
      </xdr:spPr>
    </xdr:pic>
    <xdr:clientData/>
  </xdr:twoCellAnchor>
  <xdr:twoCellAnchor>
    <xdr:from>
      <xdr:col>0</xdr:col>
      <xdr:colOff>228600</xdr:colOff>
      <xdr:row>5</xdr:row>
      <xdr:rowOff>76200</xdr:rowOff>
    </xdr:from>
    <xdr:to>
      <xdr:col>2</xdr:col>
      <xdr:colOff>0</xdr:colOff>
      <xdr:row>8</xdr:row>
      <xdr:rowOff>47625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F71C234-4043-4D64-8E13-3E8A4F1844CB}"/>
            </a:ext>
          </a:extLst>
        </xdr:cNvPr>
        <xdr:cNvSpPr/>
      </xdr:nvSpPr>
      <xdr:spPr>
        <a:xfrm>
          <a:off x="228600" y="1076325"/>
          <a:ext cx="1724025" cy="542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chemeClr val="tx1"/>
              </a:solidFill>
            </a:rPr>
            <a:t>Inventory Management</a:t>
          </a:r>
          <a:r>
            <a:rPr lang="en-IN" sz="1400" b="1" baseline="0">
              <a:solidFill>
                <a:schemeClr val="tx1"/>
              </a:solidFill>
            </a:rPr>
            <a:t> System</a:t>
          </a:r>
          <a:endParaRPr lang="en-IN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504825</xdr:colOff>
      <xdr:row>10</xdr:row>
      <xdr:rowOff>19050</xdr:rowOff>
    </xdr:from>
    <xdr:to>
      <xdr:col>2</xdr:col>
      <xdr:colOff>57150</xdr:colOff>
      <xdr:row>11</xdr:row>
      <xdr:rowOff>161925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47A7E9D-0609-4E98-993D-91BA49F660D1}"/>
            </a:ext>
          </a:extLst>
        </xdr:cNvPr>
        <xdr:cNvSpPr/>
      </xdr:nvSpPr>
      <xdr:spPr>
        <a:xfrm>
          <a:off x="771525" y="1971675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bg2">
                  <a:lumMod val="50000"/>
                </a:schemeClr>
              </a:solidFill>
            </a:rPr>
            <a:t>Dashboard</a:t>
          </a:r>
        </a:p>
      </xdr:txBody>
    </xdr:sp>
    <xdr:clientData/>
  </xdr:twoCellAnchor>
  <xdr:twoCellAnchor>
    <xdr:from>
      <xdr:col>1</xdr:col>
      <xdr:colOff>504825</xdr:colOff>
      <xdr:row>11</xdr:row>
      <xdr:rowOff>185057</xdr:rowOff>
    </xdr:from>
    <xdr:to>
      <xdr:col>2</xdr:col>
      <xdr:colOff>57150</xdr:colOff>
      <xdr:row>13</xdr:row>
      <xdr:rowOff>137432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B590400-0E12-47D2-9197-CBB0825759B0}"/>
            </a:ext>
          </a:extLst>
        </xdr:cNvPr>
        <xdr:cNvSpPr/>
      </xdr:nvSpPr>
      <xdr:spPr>
        <a:xfrm>
          <a:off x="771525" y="2328182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>
    <xdr:from>
      <xdr:col>1</xdr:col>
      <xdr:colOff>504825</xdr:colOff>
      <xdr:row>13</xdr:row>
      <xdr:rowOff>160564</xdr:rowOff>
    </xdr:from>
    <xdr:to>
      <xdr:col>2</xdr:col>
      <xdr:colOff>57150</xdr:colOff>
      <xdr:row>15</xdr:row>
      <xdr:rowOff>112939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C4FE62D-C3B2-4025-8530-010379E2699B}"/>
            </a:ext>
          </a:extLst>
        </xdr:cNvPr>
        <xdr:cNvSpPr/>
      </xdr:nvSpPr>
      <xdr:spPr>
        <a:xfrm>
          <a:off x="771525" y="2684689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>
    <xdr:from>
      <xdr:col>1</xdr:col>
      <xdr:colOff>504825</xdr:colOff>
      <xdr:row>15</xdr:row>
      <xdr:rowOff>136071</xdr:rowOff>
    </xdr:from>
    <xdr:to>
      <xdr:col>2</xdr:col>
      <xdr:colOff>57150</xdr:colOff>
      <xdr:row>17</xdr:row>
      <xdr:rowOff>88446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1E1044D-D302-4507-A681-C7F1E9257415}"/>
            </a:ext>
          </a:extLst>
        </xdr:cNvPr>
        <xdr:cNvSpPr/>
      </xdr:nvSpPr>
      <xdr:spPr>
        <a:xfrm>
          <a:off x="771525" y="3041196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>
    <xdr:from>
      <xdr:col>1</xdr:col>
      <xdr:colOff>504825</xdr:colOff>
      <xdr:row>17</xdr:row>
      <xdr:rowOff>111578</xdr:rowOff>
    </xdr:from>
    <xdr:to>
      <xdr:col>2</xdr:col>
      <xdr:colOff>57150</xdr:colOff>
      <xdr:row>19</xdr:row>
      <xdr:rowOff>63953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0474244-16A3-4C5C-86AD-52BBC0DE8249}"/>
            </a:ext>
          </a:extLst>
        </xdr:cNvPr>
        <xdr:cNvSpPr/>
      </xdr:nvSpPr>
      <xdr:spPr>
        <a:xfrm>
          <a:off x="771525" y="3397703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chemeClr val="tx1"/>
              </a:solidFill>
            </a:rPr>
            <a:t>New</a:t>
          </a:r>
          <a:r>
            <a:rPr lang="en-IN" sz="1400" b="0">
              <a:solidFill>
                <a:schemeClr val="tx1"/>
              </a:solidFill>
            </a:rPr>
            <a:t> </a:t>
          </a:r>
          <a:r>
            <a:rPr lang="en-IN" sz="1400" b="1">
              <a:solidFill>
                <a:schemeClr val="tx1"/>
              </a:solidFill>
            </a:rPr>
            <a:t>Entry</a:t>
          </a:r>
        </a:p>
      </xdr:txBody>
    </xdr:sp>
    <xdr:clientData/>
  </xdr:twoCellAnchor>
  <xdr:twoCellAnchor>
    <xdr:from>
      <xdr:col>1</xdr:col>
      <xdr:colOff>504825</xdr:colOff>
      <xdr:row>19</xdr:row>
      <xdr:rowOff>87085</xdr:rowOff>
    </xdr:from>
    <xdr:to>
      <xdr:col>2</xdr:col>
      <xdr:colOff>57150</xdr:colOff>
      <xdr:row>21</xdr:row>
      <xdr:rowOff>39460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6911628-7FE4-4C06-BCA4-7F1F758DA4FA}"/>
            </a:ext>
          </a:extLst>
        </xdr:cNvPr>
        <xdr:cNvSpPr/>
      </xdr:nvSpPr>
      <xdr:spPr>
        <a:xfrm>
          <a:off x="771525" y="3754210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>
    <xdr:from>
      <xdr:col>1</xdr:col>
      <xdr:colOff>504825</xdr:colOff>
      <xdr:row>21</xdr:row>
      <xdr:rowOff>62592</xdr:rowOff>
    </xdr:from>
    <xdr:to>
      <xdr:col>2</xdr:col>
      <xdr:colOff>57150</xdr:colOff>
      <xdr:row>23</xdr:row>
      <xdr:rowOff>14967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1990D51-FE65-49E3-BD1A-56AC5AF32D3A}"/>
            </a:ext>
          </a:extLst>
        </xdr:cNvPr>
        <xdr:cNvSpPr/>
      </xdr:nvSpPr>
      <xdr:spPr>
        <a:xfrm>
          <a:off x="771525" y="4110717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>
    <xdr:from>
      <xdr:col>1</xdr:col>
      <xdr:colOff>504825</xdr:colOff>
      <xdr:row>23</xdr:row>
      <xdr:rowOff>38100</xdr:rowOff>
    </xdr:from>
    <xdr:to>
      <xdr:col>2</xdr:col>
      <xdr:colOff>57150</xdr:colOff>
      <xdr:row>24</xdr:row>
      <xdr:rowOff>180975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E4C37ED-A5CB-49F5-ADE2-56EED7147B88}"/>
            </a:ext>
          </a:extLst>
        </xdr:cNvPr>
        <xdr:cNvSpPr/>
      </xdr:nvSpPr>
      <xdr:spPr>
        <a:xfrm>
          <a:off x="771525" y="4467225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180975</xdr:colOff>
      <xdr:row>10</xdr:row>
      <xdr:rowOff>66675</xdr:rowOff>
    </xdr:from>
    <xdr:to>
      <xdr:col>1</xdr:col>
      <xdr:colOff>511175</xdr:colOff>
      <xdr:row>12</xdr:row>
      <xdr:rowOff>19050</xdr:rowOff>
    </xdr:to>
    <xdr:pic>
      <xdr:nvPicPr>
        <xdr:cNvPr id="12" name="Graphic 11" descr="Presentation with bar chart with solid fill">
          <a:extLst>
            <a:ext uri="{FF2B5EF4-FFF2-40B4-BE49-F238E27FC236}">
              <a16:creationId xmlns:a16="http://schemas.microsoft.com/office/drawing/2014/main" id="{BCD967BE-7686-40B9-A1BE-186E8E2D0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47675" y="2019300"/>
          <a:ext cx="330200" cy="333375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23</xdr:row>
      <xdr:rowOff>63500</xdr:rowOff>
    </xdr:from>
    <xdr:to>
      <xdr:col>1</xdr:col>
      <xdr:colOff>472075</xdr:colOff>
      <xdr:row>24</xdr:row>
      <xdr:rowOff>128175</xdr:rowOff>
    </xdr:to>
    <xdr:pic>
      <xdr:nvPicPr>
        <xdr:cNvPr id="13" name="Graphic 12" descr="Clipboard Partially Checked with solid fill">
          <a:extLst>
            <a:ext uri="{FF2B5EF4-FFF2-40B4-BE49-F238E27FC236}">
              <a16:creationId xmlns:a16="http://schemas.microsoft.com/office/drawing/2014/main" id="{45FA436F-5F2B-4F70-94DF-2F3200D8A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86775" y="4492625"/>
          <a:ext cx="252000" cy="255175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19</xdr:row>
      <xdr:rowOff>130950</xdr:rowOff>
    </xdr:from>
    <xdr:to>
      <xdr:col>1</xdr:col>
      <xdr:colOff>472075</xdr:colOff>
      <xdr:row>21</xdr:row>
      <xdr:rowOff>5125</xdr:rowOff>
    </xdr:to>
    <xdr:pic>
      <xdr:nvPicPr>
        <xdr:cNvPr id="14" name="Graphic 13" descr="Receipt with solid fill">
          <a:extLst>
            <a:ext uri="{FF2B5EF4-FFF2-40B4-BE49-F238E27FC236}">
              <a16:creationId xmlns:a16="http://schemas.microsoft.com/office/drawing/2014/main" id="{BB99ABEB-8056-476E-A2E0-F978E1EE9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86775" y="3798075"/>
          <a:ext cx="252000" cy="255175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21</xdr:row>
      <xdr:rowOff>96800</xdr:rowOff>
    </xdr:from>
    <xdr:to>
      <xdr:col>1</xdr:col>
      <xdr:colOff>472075</xdr:colOff>
      <xdr:row>22</xdr:row>
      <xdr:rowOff>161475</xdr:rowOff>
    </xdr:to>
    <xdr:pic>
      <xdr:nvPicPr>
        <xdr:cNvPr id="15" name="Graphic 14" descr="Register with solid fill">
          <a:extLst>
            <a:ext uri="{FF2B5EF4-FFF2-40B4-BE49-F238E27FC236}">
              <a16:creationId xmlns:a16="http://schemas.microsoft.com/office/drawing/2014/main" id="{ED8A56E6-A4A5-4E53-9E19-9458E8130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86775" y="4144925"/>
          <a:ext cx="252000" cy="255175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17</xdr:row>
      <xdr:rowOff>170600</xdr:rowOff>
    </xdr:from>
    <xdr:to>
      <xdr:col>1</xdr:col>
      <xdr:colOff>472075</xdr:colOff>
      <xdr:row>19</xdr:row>
      <xdr:rowOff>41600</xdr:rowOff>
    </xdr:to>
    <xdr:pic>
      <xdr:nvPicPr>
        <xdr:cNvPr id="16" name="Graphic 15" descr="Full Brick Wall with solid fill">
          <a:extLst>
            <a:ext uri="{FF2B5EF4-FFF2-40B4-BE49-F238E27FC236}">
              <a16:creationId xmlns:a16="http://schemas.microsoft.com/office/drawing/2014/main" id="{36A09CEF-236B-4FC3-ACF1-6F31A4539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86775" y="3456725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12</xdr:row>
      <xdr:rowOff>50725</xdr:rowOff>
    </xdr:from>
    <xdr:to>
      <xdr:col>1</xdr:col>
      <xdr:colOff>472075</xdr:colOff>
      <xdr:row>13</xdr:row>
      <xdr:rowOff>112225</xdr:rowOff>
    </xdr:to>
    <xdr:pic>
      <xdr:nvPicPr>
        <xdr:cNvPr id="17" name="Graphic 16" descr="User with solid fill">
          <a:extLst>
            <a:ext uri="{FF2B5EF4-FFF2-40B4-BE49-F238E27FC236}">
              <a16:creationId xmlns:a16="http://schemas.microsoft.com/office/drawing/2014/main" id="{5A2B8189-8F15-4B4C-8335-99A70D24F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86775" y="2384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15</xdr:row>
      <xdr:rowOff>140400</xdr:rowOff>
    </xdr:from>
    <xdr:to>
      <xdr:col>1</xdr:col>
      <xdr:colOff>472075</xdr:colOff>
      <xdr:row>17</xdr:row>
      <xdr:rowOff>11400</xdr:rowOff>
    </xdr:to>
    <xdr:pic>
      <xdr:nvPicPr>
        <xdr:cNvPr id="18" name="Graphic 17" descr="User outline">
          <a:extLst>
            <a:ext uri="{FF2B5EF4-FFF2-40B4-BE49-F238E27FC236}">
              <a16:creationId xmlns:a16="http://schemas.microsoft.com/office/drawing/2014/main" id="{A1E5771C-C705-4F75-82EC-70F5184B9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86775" y="3045525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13</xdr:row>
      <xdr:rowOff>174625</xdr:rowOff>
    </xdr:from>
    <xdr:to>
      <xdr:col>1</xdr:col>
      <xdr:colOff>472075</xdr:colOff>
      <xdr:row>15</xdr:row>
      <xdr:rowOff>45625</xdr:rowOff>
    </xdr:to>
    <xdr:pic>
      <xdr:nvPicPr>
        <xdr:cNvPr id="19" name="Graphic 18" descr="Inventory outline">
          <a:extLst>
            <a:ext uri="{FF2B5EF4-FFF2-40B4-BE49-F238E27FC236}">
              <a16:creationId xmlns:a16="http://schemas.microsoft.com/office/drawing/2014/main" id="{BE124423-B8E2-4709-92E0-0321790AD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86775" y="2698750"/>
          <a:ext cx="252000" cy="252000"/>
        </a:xfrm>
        <a:prstGeom prst="rect">
          <a:avLst/>
        </a:prstGeom>
      </xdr:spPr>
    </xdr:pic>
    <xdr:clientData/>
  </xdr:twoCellAnchor>
  <xdr:twoCellAnchor>
    <xdr:from>
      <xdr:col>2</xdr:col>
      <xdr:colOff>161925</xdr:colOff>
      <xdr:row>1</xdr:row>
      <xdr:rowOff>28575</xdr:rowOff>
    </xdr:from>
    <xdr:to>
      <xdr:col>19</xdr:col>
      <xdr:colOff>28575</xdr:colOff>
      <xdr:row>4</xdr:row>
      <xdr:rowOff>85725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8C47841-C334-4FDE-AFC8-5EF010CFA942}"/>
            </a:ext>
          </a:extLst>
        </xdr:cNvPr>
        <xdr:cNvSpPr/>
      </xdr:nvSpPr>
      <xdr:spPr>
        <a:xfrm>
          <a:off x="2114550" y="266700"/>
          <a:ext cx="10229850" cy="62865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3200" b="1">
              <a:solidFill>
                <a:schemeClr val="tx1"/>
              </a:solidFill>
            </a:rPr>
            <a:t>   New Entry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2</xdr:row>
      <xdr:rowOff>19050</xdr:rowOff>
    </xdr:from>
    <xdr:to>
      <xdr:col>1</xdr:col>
      <xdr:colOff>1133475</xdr:colOff>
      <xdr:row>5</xdr:row>
      <xdr:rowOff>114300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E5C6D74C-F377-48C6-8806-B5D456C05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447675"/>
          <a:ext cx="666750" cy="666750"/>
        </a:xfrm>
        <a:prstGeom prst="rect">
          <a:avLst/>
        </a:prstGeom>
      </xdr:spPr>
    </xdr:pic>
    <xdr:clientData/>
  </xdr:twoCellAnchor>
  <xdr:twoCellAnchor>
    <xdr:from>
      <xdr:col>0</xdr:col>
      <xdr:colOff>228600</xdr:colOff>
      <xdr:row>5</xdr:row>
      <xdr:rowOff>76200</xdr:rowOff>
    </xdr:from>
    <xdr:to>
      <xdr:col>2</xdr:col>
      <xdr:colOff>0</xdr:colOff>
      <xdr:row>8</xdr:row>
      <xdr:rowOff>47625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AE979FA-D0E7-402D-AD58-4A6389EDA844}"/>
            </a:ext>
          </a:extLst>
        </xdr:cNvPr>
        <xdr:cNvSpPr/>
      </xdr:nvSpPr>
      <xdr:spPr>
        <a:xfrm>
          <a:off x="228600" y="1076325"/>
          <a:ext cx="1724025" cy="542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chemeClr val="tx1"/>
              </a:solidFill>
            </a:rPr>
            <a:t>Inventory Management</a:t>
          </a:r>
          <a:r>
            <a:rPr lang="en-IN" sz="1400" b="1" baseline="0">
              <a:solidFill>
                <a:schemeClr val="tx1"/>
              </a:solidFill>
            </a:rPr>
            <a:t> System</a:t>
          </a:r>
          <a:endParaRPr lang="en-IN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504825</xdr:colOff>
      <xdr:row>10</xdr:row>
      <xdr:rowOff>19050</xdr:rowOff>
    </xdr:from>
    <xdr:to>
      <xdr:col>2</xdr:col>
      <xdr:colOff>57150</xdr:colOff>
      <xdr:row>11</xdr:row>
      <xdr:rowOff>161925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EF39A01-F7D6-4415-91EE-1E049DF894FB}"/>
            </a:ext>
          </a:extLst>
        </xdr:cNvPr>
        <xdr:cNvSpPr/>
      </xdr:nvSpPr>
      <xdr:spPr>
        <a:xfrm>
          <a:off x="771525" y="1971675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bg2">
                  <a:lumMod val="50000"/>
                </a:schemeClr>
              </a:solidFill>
            </a:rPr>
            <a:t>Dashboard</a:t>
          </a:r>
        </a:p>
      </xdr:txBody>
    </xdr:sp>
    <xdr:clientData/>
  </xdr:twoCellAnchor>
  <xdr:twoCellAnchor>
    <xdr:from>
      <xdr:col>1</xdr:col>
      <xdr:colOff>504825</xdr:colOff>
      <xdr:row>11</xdr:row>
      <xdr:rowOff>185057</xdr:rowOff>
    </xdr:from>
    <xdr:to>
      <xdr:col>2</xdr:col>
      <xdr:colOff>57150</xdr:colOff>
      <xdr:row>13</xdr:row>
      <xdr:rowOff>137432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D36DA82-3980-47C3-891D-B070DEDEC42D}"/>
            </a:ext>
          </a:extLst>
        </xdr:cNvPr>
        <xdr:cNvSpPr/>
      </xdr:nvSpPr>
      <xdr:spPr>
        <a:xfrm>
          <a:off x="771525" y="2328182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>
    <xdr:from>
      <xdr:col>1</xdr:col>
      <xdr:colOff>504825</xdr:colOff>
      <xdr:row>13</xdr:row>
      <xdr:rowOff>160564</xdr:rowOff>
    </xdr:from>
    <xdr:to>
      <xdr:col>2</xdr:col>
      <xdr:colOff>57150</xdr:colOff>
      <xdr:row>15</xdr:row>
      <xdr:rowOff>112939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589D48B-0111-447D-8BC1-409FC0AEFCFF}"/>
            </a:ext>
          </a:extLst>
        </xdr:cNvPr>
        <xdr:cNvSpPr/>
      </xdr:nvSpPr>
      <xdr:spPr>
        <a:xfrm>
          <a:off x="771525" y="2684689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>
    <xdr:from>
      <xdr:col>1</xdr:col>
      <xdr:colOff>504825</xdr:colOff>
      <xdr:row>15</xdr:row>
      <xdr:rowOff>136071</xdr:rowOff>
    </xdr:from>
    <xdr:to>
      <xdr:col>2</xdr:col>
      <xdr:colOff>57150</xdr:colOff>
      <xdr:row>17</xdr:row>
      <xdr:rowOff>88446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BAFAE94-8824-4573-A3AD-214F01C8FA0D}"/>
            </a:ext>
          </a:extLst>
        </xdr:cNvPr>
        <xdr:cNvSpPr/>
      </xdr:nvSpPr>
      <xdr:spPr>
        <a:xfrm>
          <a:off x="771525" y="3041196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>
    <xdr:from>
      <xdr:col>1</xdr:col>
      <xdr:colOff>504825</xdr:colOff>
      <xdr:row>17</xdr:row>
      <xdr:rowOff>111578</xdr:rowOff>
    </xdr:from>
    <xdr:to>
      <xdr:col>2</xdr:col>
      <xdr:colOff>57150</xdr:colOff>
      <xdr:row>19</xdr:row>
      <xdr:rowOff>63953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37DF243-7FB9-42C8-B538-B98DE2460524}"/>
            </a:ext>
          </a:extLst>
        </xdr:cNvPr>
        <xdr:cNvSpPr/>
      </xdr:nvSpPr>
      <xdr:spPr>
        <a:xfrm>
          <a:off x="771525" y="3397703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>
    <xdr:from>
      <xdr:col>1</xdr:col>
      <xdr:colOff>504825</xdr:colOff>
      <xdr:row>19</xdr:row>
      <xdr:rowOff>87085</xdr:rowOff>
    </xdr:from>
    <xdr:to>
      <xdr:col>2</xdr:col>
      <xdr:colOff>57150</xdr:colOff>
      <xdr:row>21</xdr:row>
      <xdr:rowOff>39460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2411B45-E82F-4596-BB93-B7FDB8018AF9}"/>
            </a:ext>
          </a:extLst>
        </xdr:cNvPr>
        <xdr:cNvSpPr/>
      </xdr:nvSpPr>
      <xdr:spPr>
        <a:xfrm>
          <a:off x="771525" y="3754210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chemeClr val="tx1"/>
              </a:solidFill>
            </a:rPr>
            <a:t>Purchase</a:t>
          </a:r>
        </a:p>
      </xdr:txBody>
    </xdr:sp>
    <xdr:clientData/>
  </xdr:twoCellAnchor>
  <xdr:twoCellAnchor>
    <xdr:from>
      <xdr:col>1</xdr:col>
      <xdr:colOff>504825</xdr:colOff>
      <xdr:row>21</xdr:row>
      <xdr:rowOff>62592</xdr:rowOff>
    </xdr:from>
    <xdr:to>
      <xdr:col>2</xdr:col>
      <xdr:colOff>57150</xdr:colOff>
      <xdr:row>23</xdr:row>
      <xdr:rowOff>14967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ABB2E30-A2D9-41E0-ABF5-CADADB310BEB}"/>
            </a:ext>
          </a:extLst>
        </xdr:cNvPr>
        <xdr:cNvSpPr/>
      </xdr:nvSpPr>
      <xdr:spPr>
        <a:xfrm>
          <a:off x="771525" y="4110717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>
    <xdr:from>
      <xdr:col>1</xdr:col>
      <xdr:colOff>504825</xdr:colOff>
      <xdr:row>23</xdr:row>
      <xdr:rowOff>38100</xdr:rowOff>
    </xdr:from>
    <xdr:to>
      <xdr:col>2</xdr:col>
      <xdr:colOff>57150</xdr:colOff>
      <xdr:row>24</xdr:row>
      <xdr:rowOff>180975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DADA624-8751-4F1B-837A-258E3A57F81E}"/>
            </a:ext>
          </a:extLst>
        </xdr:cNvPr>
        <xdr:cNvSpPr/>
      </xdr:nvSpPr>
      <xdr:spPr>
        <a:xfrm>
          <a:off x="771525" y="4467225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180975</xdr:colOff>
      <xdr:row>10</xdr:row>
      <xdr:rowOff>66675</xdr:rowOff>
    </xdr:from>
    <xdr:to>
      <xdr:col>1</xdr:col>
      <xdr:colOff>511175</xdr:colOff>
      <xdr:row>12</xdr:row>
      <xdr:rowOff>19050</xdr:rowOff>
    </xdr:to>
    <xdr:pic>
      <xdr:nvPicPr>
        <xdr:cNvPr id="12" name="Graphic 11" descr="Presentation with bar chart with solid fill">
          <a:extLst>
            <a:ext uri="{FF2B5EF4-FFF2-40B4-BE49-F238E27FC236}">
              <a16:creationId xmlns:a16="http://schemas.microsoft.com/office/drawing/2014/main" id="{DAB3DA3E-3509-453E-8D18-261F72247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47675" y="2019300"/>
          <a:ext cx="330200" cy="333375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23</xdr:row>
      <xdr:rowOff>63500</xdr:rowOff>
    </xdr:from>
    <xdr:to>
      <xdr:col>1</xdr:col>
      <xdr:colOff>472075</xdr:colOff>
      <xdr:row>24</xdr:row>
      <xdr:rowOff>128175</xdr:rowOff>
    </xdr:to>
    <xdr:pic>
      <xdr:nvPicPr>
        <xdr:cNvPr id="13" name="Graphic 12" descr="Clipboard Partially Checked with solid fill">
          <a:extLst>
            <a:ext uri="{FF2B5EF4-FFF2-40B4-BE49-F238E27FC236}">
              <a16:creationId xmlns:a16="http://schemas.microsoft.com/office/drawing/2014/main" id="{D886FE43-7BAB-49CB-99E0-EEE54873E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86775" y="4492625"/>
          <a:ext cx="252000" cy="255175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19</xdr:row>
      <xdr:rowOff>130950</xdr:rowOff>
    </xdr:from>
    <xdr:to>
      <xdr:col>1</xdr:col>
      <xdr:colOff>472075</xdr:colOff>
      <xdr:row>21</xdr:row>
      <xdr:rowOff>5125</xdr:rowOff>
    </xdr:to>
    <xdr:pic>
      <xdr:nvPicPr>
        <xdr:cNvPr id="14" name="Graphic 13" descr="Receipt with solid fill">
          <a:extLst>
            <a:ext uri="{FF2B5EF4-FFF2-40B4-BE49-F238E27FC236}">
              <a16:creationId xmlns:a16="http://schemas.microsoft.com/office/drawing/2014/main" id="{9B66C1D5-DE4F-4195-8BE6-FF8A5AEB0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86775" y="3798075"/>
          <a:ext cx="252000" cy="255175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21</xdr:row>
      <xdr:rowOff>96800</xdr:rowOff>
    </xdr:from>
    <xdr:to>
      <xdr:col>1</xdr:col>
      <xdr:colOff>472075</xdr:colOff>
      <xdr:row>22</xdr:row>
      <xdr:rowOff>161475</xdr:rowOff>
    </xdr:to>
    <xdr:pic>
      <xdr:nvPicPr>
        <xdr:cNvPr id="15" name="Graphic 14" descr="Register with solid fill">
          <a:extLst>
            <a:ext uri="{FF2B5EF4-FFF2-40B4-BE49-F238E27FC236}">
              <a16:creationId xmlns:a16="http://schemas.microsoft.com/office/drawing/2014/main" id="{00A231F9-C7A4-4A3F-ABBA-BB8A965E3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86775" y="4144925"/>
          <a:ext cx="252000" cy="255175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17</xdr:row>
      <xdr:rowOff>170600</xdr:rowOff>
    </xdr:from>
    <xdr:to>
      <xdr:col>1</xdr:col>
      <xdr:colOff>472075</xdr:colOff>
      <xdr:row>19</xdr:row>
      <xdr:rowOff>41600</xdr:rowOff>
    </xdr:to>
    <xdr:pic>
      <xdr:nvPicPr>
        <xdr:cNvPr id="16" name="Graphic 15" descr="Full Brick Wall with solid fill">
          <a:extLst>
            <a:ext uri="{FF2B5EF4-FFF2-40B4-BE49-F238E27FC236}">
              <a16:creationId xmlns:a16="http://schemas.microsoft.com/office/drawing/2014/main" id="{47A4B725-5806-4D6D-9D94-30C86460A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86775" y="3456725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12</xdr:row>
      <xdr:rowOff>50725</xdr:rowOff>
    </xdr:from>
    <xdr:to>
      <xdr:col>1</xdr:col>
      <xdr:colOff>472075</xdr:colOff>
      <xdr:row>13</xdr:row>
      <xdr:rowOff>112225</xdr:rowOff>
    </xdr:to>
    <xdr:pic>
      <xdr:nvPicPr>
        <xdr:cNvPr id="17" name="Graphic 16" descr="User with solid fill">
          <a:extLst>
            <a:ext uri="{FF2B5EF4-FFF2-40B4-BE49-F238E27FC236}">
              <a16:creationId xmlns:a16="http://schemas.microsoft.com/office/drawing/2014/main" id="{ADE29D21-CECA-44B6-998C-E5C5963AB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86775" y="2384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15</xdr:row>
      <xdr:rowOff>140400</xdr:rowOff>
    </xdr:from>
    <xdr:to>
      <xdr:col>1</xdr:col>
      <xdr:colOff>472075</xdr:colOff>
      <xdr:row>17</xdr:row>
      <xdr:rowOff>11400</xdr:rowOff>
    </xdr:to>
    <xdr:pic>
      <xdr:nvPicPr>
        <xdr:cNvPr id="18" name="Graphic 17" descr="User outline">
          <a:extLst>
            <a:ext uri="{FF2B5EF4-FFF2-40B4-BE49-F238E27FC236}">
              <a16:creationId xmlns:a16="http://schemas.microsoft.com/office/drawing/2014/main" id="{AE261F36-CF8F-4B08-BFA9-317A038EA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86775" y="3045525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13</xdr:row>
      <xdr:rowOff>174625</xdr:rowOff>
    </xdr:from>
    <xdr:to>
      <xdr:col>1</xdr:col>
      <xdr:colOff>472075</xdr:colOff>
      <xdr:row>15</xdr:row>
      <xdr:rowOff>45625</xdr:rowOff>
    </xdr:to>
    <xdr:pic>
      <xdr:nvPicPr>
        <xdr:cNvPr id="19" name="Graphic 18" descr="Inventory outline">
          <a:extLst>
            <a:ext uri="{FF2B5EF4-FFF2-40B4-BE49-F238E27FC236}">
              <a16:creationId xmlns:a16="http://schemas.microsoft.com/office/drawing/2014/main" id="{3673AF86-62C8-4EE2-A153-91BA48A25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86775" y="26987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28575</xdr:rowOff>
    </xdr:from>
    <xdr:to>
      <xdr:col>17</xdr:col>
      <xdr:colOff>295275</xdr:colOff>
      <xdr:row>4</xdr:row>
      <xdr:rowOff>85725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D218C9D5-8A96-4686-BDAF-0EDE3517BB33}"/>
            </a:ext>
          </a:extLst>
        </xdr:cNvPr>
        <xdr:cNvSpPr/>
      </xdr:nvSpPr>
      <xdr:spPr>
        <a:xfrm>
          <a:off x="2114550" y="266700"/>
          <a:ext cx="10229850" cy="62865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3200" b="1">
              <a:solidFill>
                <a:schemeClr val="tx1"/>
              </a:solidFill>
            </a:rPr>
            <a:t>   Purchase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2</xdr:row>
      <xdr:rowOff>19050</xdr:rowOff>
    </xdr:from>
    <xdr:to>
      <xdr:col>1</xdr:col>
      <xdr:colOff>1133475</xdr:colOff>
      <xdr:row>5</xdr:row>
      <xdr:rowOff>114300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7C9CE915-B1E0-47D2-8A27-C26663D8A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447675"/>
          <a:ext cx="666750" cy="666750"/>
        </a:xfrm>
        <a:prstGeom prst="rect">
          <a:avLst/>
        </a:prstGeom>
      </xdr:spPr>
    </xdr:pic>
    <xdr:clientData/>
  </xdr:twoCellAnchor>
  <xdr:twoCellAnchor>
    <xdr:from>
      <xdr:col>0</xdr:col>
      <xdr:colOff>228600</xdr:colOff>
      <xdr:row>5</xdr:row>
      <xdr:rowOff>76200</xdr:rowOff>
    </xdr:from>
    <xdr:to>
      <xdr:col>2</xdr:col>
      <xdr:colOff>0</xdr:colOff>
      <xdr:row>8</xdr:row>
      <xdr:rowOff>47625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5272C17-2EEA-4705-9772-2F89B606533B}"/>
            </a:ext>
          </a:extLst>
        </xdr:cNvPr>
        <xdr:cNvSpPr/>
      </xdr:nvSpPr>
      <xdr:spPr>
        <a:xfrm>
          <a:off x="228600" y="1076325"/>
          <a:ext cx="1724025" cy="542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chemeClr val="tx1"/>
              </a:solidFill>
            </a:rPr>
            <a:t>Inventory Management</a:t>
          </a:r>
          <a:r>
            <a:rPr lang="en-IN" sz="1400" b="1" baseline="0">
              <a:solidFill>
                <a:schemeClr val="tx1"/>
              </a:solidFill>
            </a:rPr>
            <a:t> System</a:t>
          </a:r>
          <a:endParaRPr lang="en-IN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504825</xdr:colOff>
      <xdr:row>10</xdr:row>
      <xdr:rowOff>19050</xdr:rowOff>
    </xdr:from>
    <xdr:to>
      <xdr:col>2</xdr:col>
      <xdr:colOff>57150</xdr:colOff>
      <xdr:row>11</xdr:row>
      <xdr:rowOff>161925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1284D9D-E4BB-4340-80E3-1E4A54D9E72C}"/>
            </a:ext>
          </a:extLst>
        </xdr:cNvPr>
        <xdr:cNvSpPr/>
      </xdr:nvSpPr>
      <xdr:spPr>
        <a:xfrm>
          <a:off x="771525" y="1971675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bg2">
                  <a:lumMod val="50000"/>
                </a:schemeClr>
              </a:solidFill>
            </a:rPr>
            <a:t>Dashboard</a:t>
          </a:r>
        </a:p>
      </xdr:txBody>
    </xdr:sp>
    <xdr:clientData/>
  </xdr:twoCellAnchor>
  <xdr:twoCellAnchor>
    <xdr:from>
      <xdr:col>1</xdr:col>
      <xdr:colOff>504825</xdr:colOff>
      <xdr:row>11</xdr:row>
      <xdr:rowOff>185057</xdr:rowOff>
    </xdr:from>
    <xdr:to>
      <xdr:col>2</xdr:col>
      <xdr:colOff>57150</xdr:colOff>
      <xdr:row>13</xdr:row>
      <xdr:rowOff>137432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086380E-F94C-494F-9382-02E8FC6D6AC5}"/>
            </a:ext>
          </a:extLst>
        </xdr:cNvPr>
        <xdr:cNvSpPr/>
      </xdr:nvSpPr>
      <xdr:spPr>
        <a:xfrm>
          <a:off x="771525" y="2328182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>
    <xdr:from>
      <xdr:col>1</xdr:col>
      <xdr:colOff>504825</xdr:colOff>
      <xdr:row>13</xdr:row>
      <xdr:rowOff>160564</xdr:rowOff>
    </xdr:from>
    <xdr:to>
      <xdr:col>2</xdr:col>
      <xdr:colOff>57150</xdr:colOff>
      <xdr:row>15</xdr:row>
      <xdr:rowOff>112939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A026CEF-E462-4C85-AD91-2003F03D12FC}"/>
            </a:ext>
          </a:extLst>
        </xdr:cNvPr>
        <xdr:cNvSpPr/>
      </xdr:nvSpPr>
      <xdr:spPr>
        <a:xfrm>
          <a:off x="771525" y="2684689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>
    <xdr:from>
      <xdr:col>1</xdr:col>
      <xdr:colOff>504825</xdr:colOff>
      <xdr:row>15</xdr:row>
      <xdr:rowOff>136071</xdr:rowOff>
    </xdr:from>
    <xdr:to>
      <xdr:col>2</xdr:col>
      <xdr:colOff>57150</xdr:colOff>
      <xdr:row>17</xdr:row>
      <xdr:rowOff>88446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EE81AF6-E00D-44BF-AF5A-B7E9D271721D}"/>
            </a:ext>
          </a:extLst>
        </xdr:cNvPr>
        <xdr:cNvSpPr/>
      </xdr:nvSpPr>
      <xdr:spPr>
        <a:xfrm>
          <a:off x="771525" y="3041196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>
    <xdr:from>
      <xdr:col>1</xdr:col>
      <xdr:colOff>504825</xdr:colOff>
      <xdr:row>17</xdr:row>
      <xdr:rowOff>111578</xdr:rowOff>
    </xdr:from>
    <xdr:to>
      <xdr:col>2</xdr:col>
      <xdr:colOff>57150</xdr:colOff>
      <xdr:row>19</xdr:row>
      <xdr:rowOff>63953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A03382F-0F5E-4229-9060-D9846396CC04}"/>
            </a:ext>
          </a:extLst>
        </xdr:cNvPr>
        <xdr:cNvSpPr/>
      </xdr:nvSpPr>
      <xdr:spPr>
        <a:xfrm>
          <a:off x="771525" y="3397703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>
    <xdr:from>
      <xdr:col>1</xdr:col>
      <xdr:colOff>504825</xdr:colOff>
      <xdr:row>19</xdr:row>
      <xdr:rowOff>87085</xdr:rowOff>
    </xdr:from>
    <xdr:to>
      <xdr:col>2</xdr:col>
      <xdr:colOff>57150</xdr:colOff>
      <xdr:row>21</xdr:row>
      <xdr:rowOff>39460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938F951-E0F2-4E62-A38D-4FBBCD66C76C}"/>
            </a:ext>
          </a:extLst>
        </xdr:cNvPr>
        <xdr:cNvSpPr/>
      </xdr:nvSpPr>
      <xdr:spPr>
        <a:xfrm>
          <a:off x="771525" y="3754210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>
    <xdr:from>
      <xdr:col>1</xdr:col>
      <xdr:colOff>504825</xdr:colOff>
      <xdr:row>21</xdr:row>
      <xdr:rowOff>62592</xdr:rowOff>
    </xdr:from>
    <xdr:to>
      <xdr:col>2</xdr:col>
      <xdr:colOff>57150</xdr:colOff>
      <xdr:row>23</xdr:row>
      <xdr:rowOff>14967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60A78C4-28C4-43CE-9626-3B201905CD59}"/>
            </a:ext>
          </a:extLst>
        </xdr:cNvPr>
        <xdr:cNvSpPr/>
      </xdr:nvSpPr>
      <xdr:spPr>
        <a:xfrm>
          <a:off x="771525" y="4110717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chemeClr val="tx1"/>
              </a:solidFill>
            </a:rPr>
            <a:t>Sales</a:t>
          </a:r>
        </a:p>
      </xdr:txBody>
    </xdr:sp>
    <xdr:clientData/>
  </xdr:twoCellAnchor>
  <xdr:twoCellAnchor>
    <xdr:from>
      <xdr:col>1</xdr:col>
      <xdr:colOff>504825</xdr:colOff>
      <xdr:row>23</xdr:row>
      <xdr:rowOff>38100</xdr:rowOff>
    </xdr:from>
    <xdr:to>
      <xdr:col>2</xdr:col>
      <xdr:colOff>57150</xdr:colOff>
      <xdr:row>24</xdr:row>
      <xdr:rowOff>180975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591EC6E-C812-449A-96B2-493F9E234D5B}"/>
            </a:ext>
          </a:extLst>
        </xdr:cNvPr>
        <xdr:cNvSpPr/>
      </xdr:nvSpPr>
      <xdr:spPr>
        <a:xfrm>
          <a:off x="771525" y="4467225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180975</xdr:colOff>
      <xdr:row>10</xdr:row>
      <xdr:rowOff>66675</xdr:rowOff>
    </xdr:from>
    <xdr:to>
      <xdr:col>1</xdr:col>
      <xdr:colOff>511175</xdr:colOff>
      <xdr:row>12</xdr:row>
      <xdr:rowOff>19050</xdr:rowOff>
    </xdr:to>
    <xdr:pic>
      <xdr:nvPicPr>
        <xdr:cNvPr id="12" name="Graphic 11" descr="Presentation with bar chart with solid fill">
          <a:extLst>
            <a:ext uri="{FF2B5EF4-FFF2-40B4-BE49-F238E27FC236}">
              <a16:creationId xmlns:a16="http://schemas.microsoft.com/office/drawing/2014/main" id="{C3880716-DC0B-4264-8512-8A4AFEBD0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47675" y="2019300"/>
          <a:ext cx="330200" cy="333375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23</xdr:row>
      <xdr:rowOff>63500</xdr:rowOff>
    </xdr:from>
    <xdr:to>
      <xdr:col>1</xdr:col>
      <xdr:colOff>472075</xdr:colOff>
      <xdr:row>24</xdr:row>
      <xdr:rowOff>128175</xdr:rowOff>
    </xdr:to>
    <xdr:pic>
      <xdr:nvPicPr>
        <xdr:cNvPr id="13" name="Graphic 12" descr="Clipboard Partially Checked with solid fill">
          <a:extLst>
            <a:ext uri="{FF2B5EF4-FFF2-40B4-BE49-F238E27FC236}">
              <a16:creationId xmlns:a16="http://schemas.microsoft.com/office/drawing/2014/main" id="{BD6D57D0-946C-4E85-9A18-2F6905489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86775" y="4492625"/>
          <a:ext cx="252000" cy="255175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19</xdr:row>
      <xdr:rowOff>130950</xdr:rowOff>
    </xdr:from>
    <xdr:to>
      <xdr:col>1</xdr:col>
      <xdr:colOff>472075</xdr:colOff>
      <xdr:row>21</xdr:row>
      <xdr:rowOff>5125</xdr:rowOff>
    </xdr:to>
    <xdr:pic>
      <xdr:nvPicPr>
        <xdr:cNvPr id="14" name="Graphic 13" descr="Receipt with solid fill">
          <a:extLst>
            <a:ext uri="{FF2B5EF4-FFF2-40B4-BE49-F238E27FC236}">
              <a16:creationId xmlns:a16="http://schemas.microsoft.com/office/drawing/2014/main" id="{01E05A89-64CB-4385-86AB-3C298DE79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86775" y="3798075"/>
          <a:ext cx="252000" cy="255175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21</xdr:row>
      <xdr:rowOff>96800</xdr:rowOff>
    </xdr:from>
    <xdr:to>
      <xdr:col>1</xdr:col>
      <xdr:colOff>472075</xdr:colOff>
      <xdr:row>22</xdr:row>
      <xdr:rowOff>161475</xdr:rowOff>
    </xdr:to>
    <xdr:pic>
      <xdr:nvPicPr>
        <xdr:cNvPr id="15" name="Graphic 14" descr="Register with solid fill">
          <a:extLst>
            <a:ext uri="{FF2B5EF4-FFF2-40B4-BE49-F238E27FC236}">
              <a16:creationId xmlns:a16="http://schemas.microsoft.com/office/drawing/2014/main" id="{40B66C3C-B7FD-4A52-8E19-71BF5A1C6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86775" y="4144925"/>
          <a:ext cx="252000" cy="255175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17</xdr:row>
      <xdr:rowOff>170600</xdr:rowOff>
    </xdr:from>
    <xdr:to>
      <xdr:col>1</xdr:col>
      <xdr:colOff>472075</xdr:colOff>
      <xdr:row>19</xdr:row>
      <xdr:rowOff>41600</xdr:rowOff>
    </xdr:to>
    <xdr:pic>
      <xdr:nvPicPr>
        <xdr:cNvPr id="16" name="Graphic 15" descr="Full Brick Wall with solid fill">
          <a:extLst>
            <a:ext uri="{FF2B5EF4-FFF2-40B4-BE49-F238E27FC236}">
              <a16:creationId xmlns:a16="http://schemas.microsoft.com/office/drawing/2014/main" id="{E891AE6B-51EA-4A0B-BA4D-379A8A63C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86775" y="3456725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12</xdr:row>
      <xdr:rowOff>50725</xdr:rowOff>
    </xdr:from>
    <xdr:to>
      <xdr:col>1</xdr:col>
      <xdr:colOff>472075</xdr:colOff>
      <xdr:row>13</xdr:row>
      <xdr:rowOff>112225</xdr:rowOff>
    </xdr:to>
    <xdr:pic>
      <xdr:nvPicPr>
        <xdr:cNvPr id="17" name="Graphic 16" descr="User with solid fill">
          <a:extLst>
            <a:ext uri="{FF2B5EF4-FFF2-40B4-BE49-F238E27FC236}">
              <a16:creationId xmlns:a16="http://schemas.microsoft.com/office/drawing/2014/main" id="{01C84EF2-6F78-454F-BCDF-9C9062329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86775" y="2384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15</xdr:row>
      <xdr:rowOff>140400</xdr:rowOff>
    </xdr:from>
    <xdr:to>
      <xdr:col>1</xdr:col>
      <xdr:colOff>472075</xdr:colOff>
      <xdr:row>17</xdr:row>
      <xdr:rowOff>11400</xdr:rowOff>
    </xdr:to>
    <xdr:pic>
      <xdr:nvPicPr>
        <xdr:cNvPr id="18" name="Graphic 17" descr="User outline">
          <a:extLst>
            <a:ext uri="{FF2B5EF4-FFF2-40B4-BE49-F238E27FC236}">
              <a16:creationId xmlns:a16="http://schemas.microsoft.com/office/drawing/2014/main" id="{E92D2757-578E-4E39-8710-65CCB9C4B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86775" y="3045525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13</xdr:row>
      <xdr:rowOff>174625</xdr:rowOff>
    </xdr:from>
    <xdr:to>
      <xdr:col>1</xdr:col>
      <xdr:colOff>472075</xdr:colOff>
      <xdr:row>15</xdr:row>
      <xdr:rowOff>45625</xdr:rowOff>
    </xdr:to>
    <xdr:pic>
      <xdr:nvPicPr>
        <xdr:cNvPr id="19" name="Graphic 18" descr="Inventory outline">
          <a:extLst>
            <a:ext uri="{FF2B5EF4-FFF2-40B4-BE49-F238E27FC236}">
              <a16:creationId xmlns:a16="http://schemas.microsoft.com/office/drawing/2014/main" id="{F2D3E85B-C030-4DB7-9416-7D40CEBB6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86775" y="26987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9525</xdr:colOff>
      <xdr:row>1</xdr:row>
      <xdr:rowOff>28575</xdr:rowOff>
    </xdr:from>
    <xdr:to>
      <xdr:col>13</xdr:col>
      <xdr:colOff>376464</xdr:colOff>
      <xdr:row>4</xdr:row>
      <xdr:rowOff>85725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DD0B336E-0AB3-4B80-9C86-1C5111A0B1DF}"/>
            </a:ext>
          </a:extLst>
        </xdr:cNvPr>
        <xdr:cNvSpPr/>
      </xdr:nvSpPr>
      <xdr:spPr>
        <a:xfrm>
          <a:off x="2114550" y="266700"/>
          <a:ext cx="10229850" cy="62865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3200" b="1">
              <a:solidFill>
                <a:schemeClr val="tx1"/>
              </a:solidFill>
            </a:rPr>
            <a:t>   Sales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2</xdr:row>
      <xdr:rowOff>19050</xdr:rowOff>
    </xdr:from>
    <xdr:to>
      <xdr:col>1</xdr:col>
      <xdr:colOff>1133475</xdr:colOff>
      <xdr:row>5</xdr:row>
      <xdr:rowOff>114300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B0977046-CE9F-4C20-9443-F73ED3173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447675"/>
          <a:ext cx="666750" cy="666750"/>
        </a:xfrm>
        <a:prstGeom prst="rect">
          <a:avLst/>
        </a:prstGeom>
      </xdr:spPr>
    </xdr:pic>
    <xdr:clientData/>
  </xdr:twoCellAnchor>
  <xdr:twoCellAnchor>
    <xdr:from>
      <xdr:col>0</xdr:col>
      <xdr:colOff>228600</xdr:colOff>
      <xdr:row>5</xdr:row>
      <xdr:rowOff>76200</xdr:rowOff>
    </xdr:from>
    <xdr:to>
      <xdr:col>2</xdr:col>
      <xdr:colOff>0</xdr:colOff>
      <xdr:row>8</xdr:row>
      <xdr:rowOff>47625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C90C89A-625E-427B-8599-1B8DEE6D4026}"/>
            </a:ext>
          </a:extLst>
        </xdr:cNvPr>
        <xdr:cNvSpPr/>
      </xdr:nvSpPr>
      <xdr:spPr>
        <a:xfrm>
          <a:off x="228600" y="1076325"/>
          <a:ext cx="1724025" cy="542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>
              <a:solidFill>
                <a:schemeClr val="tx1"/>
              </a:solidFill>
            </a:rPr>
            <a:t>Inventory Management</a:t>
          </a:r>
          <a:r>
            <a:rPr lang="en-IN" sz="1400" b="1" baseline="0">
              <a:solidFill>
                <a:schemeClr val="tx1"/>
              </a:solidFill>
            </a:rPr>
            <a:t> System</a:t>
          </a:r>
          <a:endParaRPr lang="en-IN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504825</xdr:colOff>
      <xdr:row>10</xdr:row>
      <xdr:rowOff>19050</xdr:rowOff>
    </xdr:from>
    <xdr:to>
      <xdr:col>2</xdr:col>
      <xdr:colOff>57150</xdr:colOff>
      <xdr:row>11</xdr:row>
      <xdr:rowOff>161925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E436F10-6F81-4CE1-BE31-9841BD1BAFF7}"/>
            </a:ext>
          </a:extLst>
        </xdr:cNvPr>
        <xdr:cNvSpPr/>
      </xdr:nvSpPr>
      <xdr:spPr>
        <a:xfrm>
          <a:off x="771525" y="1971675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bg2">
                  <a:lumMod val="50000"/>
                </a:schemeClr>
              </a:solidFill>
            </a:rPr>
            <a:t>Dashboard</a:t>
          </a:r>
        </a:p>
      </xdr:txBody>
    </xdr:sp>
    <xdr:clientData/>
  </xdr:twoCellAnchor>
  <xdr:twoCellAnchor>
    <xdr:from>
      <xdr:col>1</xdr:col>
      <xdr:colOff>504825</xdr:colOff>
      <xdr:row>11</xdr:row>
      <xdr:rowOff>185057</xdr:rowOff>
    </xdr:from>
    <xdr:to>
      <xdr:col>2</xdr:col>
      <xdr:colOff>57150</xdr:colOff>
      <xdr:row>13</xdr:row>
      <xdr:rowOff>137432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BD7908E-D29D-4B5C-B95C-D392F3C51D66}"/>
            </a:ext>
          </a:extLst>
        </xdr:cNvPr>
        <xdr:cNvSpPr/>
      </xdr:nvSpPr>
      <xdr:spPr>
        <a:xfrm>
          <a:off x="771525" y="2328182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>
    <xdr:from>
      <xdr:col>1</xdr:col>
      <xdr:colOff>504825</xdr:colOff>
      <xdr:row>13</xdr:row>
      <xdr:rowOff>160564</xdr:rowOff>
    </xdr:from>
    <xdr:to>
      <xdr:col>2</xdr:col>
      <xdr:colOff>57150</xdr:colOff>
      <xdr:row>15</xdr:row>
      <xdr:rowOff>112939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F15D4C6-AC06-48B7-B17C-7B18FE489BA5}"/>
            </a:ext>
          </a:extLst>
        </xdr:cNvPr>
        <xdr:cNvSpPr/>
      </xdr:nvSpPr>
      <xdr:spPr>
        <a:xfrm>
          <a:off x="771525" y="2684689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>
    <xdr:from>
      <xdr:col>1</xdr:col>
      <xdr:colOff>504825</xdr:colOff>
      <xdr:row>15</xdr:row>
      <xdr:rowOff>136071</xdr:rowOff>
    </xdr:from>
    <xdr:to>
      <xdr:col>2</xdr:col>
      <xdr:colOff>57150</xdr:colOff>
      <xdr:row>17</xdr:row>
      <xdr:rowOff>88446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278D23E-27F4-4CFD-A7D5-467F08F91F88}"/>
            </a:ext>
          </a:extLst>
        </xdr:cNvPr>
        <xdr:cNvSpPr/>
      </xdr:nvSpPr>
      <xdr:spPr>
        <a:xfrm>
          <a:off x="771525" y="3041196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>
    <xdr:from>
      <xdr:col>1</xdr:col>
      <xdr:colOff>504825</xdr:colOff>
      <xdr:row>17</xdr:row>
      <xdr:rowOff>111578</xdr:rowOff>
    </xdr:from>
    <xdr:to>
      <xdr:col>2</xdr:col>
      <xdr:colOff>57150</xdr:colOff>
      <xdr:row>19</xdr:row>
      <xdr:rowOff>63953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598DBED-2C2F-4729-BDB7-D1ACF80ABF34}"/>
            </a:ext>
          </a:extLst>
        </xdr:cNvPr>
        <xdr:cNvSpPr/>
      </xdr:nvSpPr>
      <xdr:spPr>
        <a:xfrm>
          <a:off x="771525" y="3397703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>
    <xdr:from>
      <xdr:col>1</xdr:col>
      <xdr:colOff>504825</xdr:colOff>
      <xdr:row>19</xdr:row>
      <xdr:rowOff>87085</xdr:rowOff>
    </xdr:from>
    <xdr:to>
      <xdr:col>2</xdr:col>
      <xdr:colOff>57150</xdr:colOff>
      <xdr:row>21</xdr:row>
      <xdr:rowOff>39460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F97D069-65C8-4CA7-92CA-62EA8FAC4DAE}"/>
            </a:ext>
          </a:extLst>
        </xdr:cNvPr>
        <xdr:cNvSpPr/>
      </xdr:nvSpPr>
      <xdr:spPr>
        <a:xfrm>
          <a:off x="771525" y="3754210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>
    <xdr:from>
      <xdr:col>1</xdr:col>
      <xdr:colOff>504825</xdr:colOff>
      <xdr:row>21</xdr:row>
      <xdr:rowOff>62592</xdr:rowOff>
    </xdr:from>
    <xdr:to>
      <xdr:col>2</xdr:col>
      <xdr:colOff>57150</xdr:colOff>
      <xdr:row>23</xdr:row>
      <xdr:rowOff>14967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AB89B14-CFB5-4C37-BB4C-F5BFCE277241}"/>
            </a:ext>
          </a:extLst>
        </xdr:cNvPr>
        <xdr:cNvSpPr/>
      </xdr:nvSpPr>
      <xdr:spPr>
        <a:xfrm>
          <a:off x="771525" y="4110717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>
    <xdr:from>
      <xdr:col>1</xdr:col>
      <xdr:colOff>504825</xdr:colOff>
      <xdr:row>23</xdr:row>
      <xdr:rowOff>38100</xdr:rowOff>
    </xdr:from>
    <xdr:to>
      <xdr:col>2</xdr:col>
      <xdr:colOff>57150</xdr:colOff>
      <xdr:row>24</xdr:row>
      <xdr:rowOff>180975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8E9BC04-1C5C-4B5E-9A9A-63DDD9EF163A}"/>
            </a:ext>
          </a:extLst>
        </xdr:cNvPr>
        <xdr:cNvSpPr/>
      </xdr:nvSpPr>
      <xdr:spPr>
        <a:xfrm>
          <a:off x="771525" y="4467225"/>
          <a:ext cx="1238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400" b="1">
              <a:solidFill>
                <a:schemeClr val="tx1"/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180975</xdr:colOff>
      <xdr:row>10</xdr:row>
      <xdr:rowOff>66675</xdr:rowOff>
    </xdr:from>
    <xdr:to>
      <xdr:col>1</xdr:col>
      <xdr:colOff>511175</xdr:colOff>
      <xdr:row>12</xdr:row>
      <xdr:rowOff>19050</xdr:rowOff>
    </xdr:to>
    <xdr:pic>
      <xdr:nvPicPr>
        <xdr:cNvPr id="12" name="Graphic 11" descr="Presentation with bar chart with solid fill">
          <a:extLst>
            <a:ext uri="{FF2B5EF4-FFF2-40B4-BE49-F238E27FC236}">
              <a16:creationId xmlns:a16="http://schemas.microsoft.com/office/drawing/2014/main" id="{EE378CFE-55CA-4558-9C04-D21E1E697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47675" y="2019300"/>
          <a:ext cx="330200" cy="333375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23</xdr:row>
      <xdr:rowOff>63500</xdr:rowOff>
    </xdr:from>
    <xdr:to>
      <xdr:col>1</xdr:col>
      <xdr:colOff>472075</xdr:colOff>
      <xdr:row>24</xdr:row>
      <xdr:rowOff>128175</xdr:rowOff>
    </xdr:to>
    <xdr:pic>
      <xdr:nvPicPr>
        <xdr:cNvPr id="13" name="Graphic 12" descr="Clipboard Partially Checked with solid fill">
          <a:extLst>
            <a:ext uri="{FF2B5EF4-FFF2-40B4-BE49-F238E27FC236}">
              <a16:creationId xmlns:a16="http://schemas.microsoft.com/office/drawing/2014/main" id="{0B61B603-C805-47EC-96E9-45CC637D5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86775" y="4492625"/>
          <a:ext cx="252000" cy="255175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19</xdr:row>
      <xdr:rowOff>130950</xdr:rowOff>
    </xdr:from>
    <xdr:to>
      <xdr:col>1</xdr:col>
      <xdr:colOff>472075</xdr:colOff>
      <xdr:row>21</xdr:row>
      <xdr:rowOff>5125</xdr:rowOff>
    </xdr:to>
    <xdr:pic>
      <xdr:nvPicPr>
        <xdr:cNvPr id="14" name="Graphic 13" descr="Receipt with solid fill">
          <a:extLst>
            <a:ext uri="{FF2B5EF4-FFF2-40B4-BE49-F238E27FC236}">
              <a16:creationId xmlns:a16="http://schemas.microsoft.com/office/drawing/2014/main" id="{D4EA5C6A-B4FE-45A0-8AF0-DDA067667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86775" y="3798075"/>
          <a:ext cx="252000" cy="255175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21</xdr:row>
      <xdr:rowOff>96800</xdr:rowOff>
    </xdr:from>
    <xdr:to>
      <xdr:col>1</xdr:col>
      <xdr:colOff>472075</xdr:colOff>
      <xdr:row>22</xdr:row>
      <xdr:rowOff>161475</xdr:rowOff>
    </xdr:to>
    <xdr:pic>
      <xdr:nvPicPr>
        <xdr:cNvPr id="15" name="Graphic 14" descr="Register with solid fill">
          <a:extLst>
            <a:ext uri="{FF2B5EF4-FFF2-40B4-BE49-F238E27FC236}">
              <a16:creationId xmlns:a16="http://schemas.microsoft.com/office/drawing/2014/main" id="{E12482CD-FFFA-428B-BA71-B97C9B223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86775" y="4144925"/>
          <a:ext cx="252000" cy="255175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17</xdr:row>
      <xdr:rowOff>170600</xdr:rowOff>
    </xdr:from>
    <xdr:to>
      <xdr:col>1</xdr:col>
      <xdr:colOff>472075</xdr:colOff>
      <xdr:row>19</xdr:row>
      <xdr:rowOff>41600</xdr:rowOff>
    </xdr:to>
    <xdr:pic>
      <xdr:nvPicPr>
        <xdr:cNvPr id="16" name="Graphic 15" descr="Full Brick Wall with solid fill">
          <a:extLst>
            <a:ext uri="{FF2B5EF4-FFF2-40B4-BE49-F238E27FC236}">
              <a16:creationId xmlns:a16="http://schemas.microsoft.com/office/drawing/2014/main" id="{8775EC4C-EB2C-401F-B711-10E739AB7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86775" y="3456725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12</xdr:row>
      <xdr:rowOff>50725</xdr:rowOff>
    </xdr:from>
    <xdr:to>
      <xdr:col>1</xdr:col>
      <xdr:colOff>472075</xdr:colOff>
      <xdr:row>13</xdr:row>
      <xdr:rowOff>112225</xdr:rowOff>
    </xdr:to>
    <xdr:pic>
      <xdr:nvPicPr>
        <xdr:cNvPr id="17" name="Graphic 16" descr="User with solid fill">
          <a:extLst>
            <a:ext uri="{FF2B5EF4-FFF2-40B4-BE49-F238E27FC236}">
              <a16:creationId xmlns:a16="http://schemas.microsoft.com/office/drawing/2014/main" id="{AFB466BE-8173-47E6-BD16-52C7CF73A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86775" y="2384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15</xdr:row>
      <xdr:rowOff>140400</xdr:rowOff>
    </xdr:from>
    <xdr:to>
      <xdr:col>1</xdr:col>
      <xdr:colOff>472075</xdr:colOff>
      <xdr:row>17</xdr:row>
      <xdr:rowOff>11400</xdr:rowOff>
    </xdr:to>
    <xdr:pic>
      <xdr:nvPicPr>
        <xdr:cNvPr id="18" name="Graphic 17" descr="User outline">
          <a:extLst>
            <a:ext uri="{FF2B5EF4-FFF2-40B4-BE49-F238E27FC236}">
              <a16:creationId xmlns:a16="http://schemas.microsoft.com/office/drawing/2014/main" id="{55A6896B-011C-4247-BBCD-137B735B4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86775" y="3045525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220075</xdr:colOff>
      <xdr:row>13</xdr:row>
      <xdr:rowOff>174625</xdr:rowOff>
    </xdr:from>
    <xdr:to>
      <xdr:col>1</xdr:col>
      <xdr:colOff>472075</xdr:colOff>
      <xdr:row>15</xdr:row>
      <xdr:rowOff>45625</xdr:rowOff>
    </xdr:to>
    <xdr:pic>
      <xdr:nvPicPr>
        <xdr:cNvPr id="19" name="Graphic 18" descr="Inventory outline">
          <a:extLst>
            <a:ext uri="{FF2B5EF4-FFF2-40B4-BE49-F238E27FC236}">
              <a16:creationId xmlns:a16="http://schemas.microsoft.com/office/drawing/2014/main" id="{50904238-3196-44CC-9BA1-4E6D8AC2B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86775" y="26987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28575</xdr:rowOff>
    </xdr:from>
    <xdr:to>
      <xdr:col>11</xdr:col>
      <xdr:colOff>440872</xdr:colOff>
      <xdr:row>4</xdr:row>
      <xdr:rowOff>85725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DBD0FCD3-7E94-4F18-9598-FCB8109FB17F}"/>
            </a:ext>
          </a:extLst>
        </xdr:cNvPr>
        <xdr:cNvSpPr/>
      </xdr:nvSpPr>
      <xdr:spPr>
        <a:xfrm>
          <a:off x="2114550" y="266700"/>
          <a:ext cx="10229850" cy="62865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3200" b="1">
              <a:solidFill>
                <a:schemeClr val="tx1"/>
              </a:solidFill>
            </a:rPr>
            <a:t>   Inventory Management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26.947810069447" createdVersion="8" refreshedVersion="8" minRefreshableVersion="3" recordCount="8" xr:uid="{2C6B78E1-AB85-458F-A4F2-22684B0A1F8C}">
  <cacheSource type="worksheet">
    <worksheetSource name="customersdata"/>
  </cacheSource>
  <cacheFields count="4">
    <cacheField name="Cust_ID" numFmtId="0">
      <sharedItems containsSemiMixedTypes="0" containsString="0" containsNumber="1" containsInteger="1" minValue="100" maxValue="107"/>
    </cacheField>
    <cacheField name="Name" numFmtId="0">
      <sharedItems/>
    </cacheField>
    <cacheField name="Email" numFmtId="0">
      <sharedItems/>
    </cacheField>
    <cacheField name="Addres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26.947810185186" createdVersion="8" refreshedVersion="8" minRefreshableVersion="3" recordCount="10" xr:uid="{16C6CCE0-C25B-452A-8204-21315D3184ED}">
  <cacheSource type="worksheet">
    <worksheetSource name="ProductsData"/>
  </cacheSource>
  <cacheFields count="4">
    <cacheField name="HSN Code" numFmtId="0">
      <sharedItems/>
    </cacheField>
    <cacheField name="Product Name" numFmtId="0">
      <sharedItems/>
    </cacheField>
    <cacheField name="Cost" numFmtId="0">
      <sharedItems containsSemiMixedTypes="0" containsString="0" containsNumber="1" containsInteger="1" minValue="200" maxValue="52000"/>
    </cacheField>
    <cacheField name="Selling Price" numFmtId="0">
      <sharedItems containsSemiMixedTypes="0" containsString="0" containsNumber="1" minValue="240" maxValue="62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26.947810300924" createdVersion="8" refreshedVersion="8" minRefreshableVersion="3" recordCount="13" xr:uid="{B883FEFA-CA4F-48C0-A863-D9C6ECA5A6B1}">
  <cacheSource type="worksheet">
    <worksheetSource name="Purchasedata"/>
  </cacheSource>
  <cacheFields count="7">
    <cacheField name="HSN Code" numFmtId="0">
      <sharedItems containsBlank="1"/>
    </cacheField>
    <cacheField name="Product Name" numFmtId="0">
      <sharedItems/>
    </cacheField>
    <cacheField name="Vendor" numFmtId="0">
      <sharedItems/>
    </cacheField>
    <cacheField name="Date" numFmtId="0">
      <sharedItems containsNonDate="0" containsDate="1" containsString="0" containsBlank="1" minDate="2026-01-01T00:00:00" maxDate="2026-01-03T00:00:00"/>
    </cacheField>
    <cacheField name="Units" numFmtId="0">
      <sharedItems containsString="0" containsBlank="1" containsNumber="1" containsInteger="1" minValue="5" maxValue="300"/>
    </cacheField>
    <cacheField name="Cost" numFmtId="0">
      <sharedItems containsMixedTypes="1" containsNumber="1" containsInteger="1" minValue="200" maxValue="34500"/>
    </cacheField>
    <cacheField name="Amount" numFmtId="0">
      <sharedItems containsMixedTypes="1" containsNumber="1" containsInteger="1" minValue="2380" maxValue="172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26.94781041667" createdVersion="8" refreshedVersion="8" minRefreshableVersion="3" recordCount="15" xr:uid="{5BD6DC27-DCED-451F-A30A-9D207A6308EA}">
  <cacheSource type="worksheet">
    <worksheetSource name="Table3"/>
  </cacheSource>
  <cacheFields count="9">
    <cacheField name="Cust_Id" numFmtId="0">
      <sharedItems containsString="0" containsBlank="1" containsNumber="1" containsInteger="1" minValue="100" maxValue="105"/>
    </cacheField>
    <cacheField name="Cust_Name" numFmtId="0">
      <sharedItems count="6">
        <s v="Ram sales"/>
        <s v="99store"/>
        <s v="MK Tech."/>
        <s v="Amit "/>
        <s v="Atul Ltd."/>
        <s v=""/>
      </sharedItems>
    </cacheField>
    <cacheField name="HSN Code" numFmtId="0">
      <sharedItems containsBlank="1"/>
    </cacheField>
    <cacheField name="Product Name" numFmtId="0">
      <sharedItems/>
    </cacheField>
    <cacheField name="Date" numFmtId="0">
      <sharedItems containsNonDate="0" containsDate="1" containsString="0" containsBlank="1" minDate="2026-01-01T00:00:00" maxDate="2026-02-03T00:00:00"/>
    </cacheField>
    <cacheField name="Stock(Units)" numFmtId="0">
      <sharedItems containsSemiMixedTypes="0" containsString="0" containsNumber="1" containsInteger="1" minValue="0" maxValue="254"/>
    </cacheField>
    <cacheField name="Units" numFmtId="0">
      <sharedItems containsString="0" containsBlank="1" containsNumber="1" containsInteger="1" minValue="10" maxValue="36"/>
    </cacheField>
    <cacheField name="Price" numFmtId="0">
      <sharedItems containsMixedTypes="1" containsNumber="1" containsInteger="1" minValue="200" maxValue="34500"/>
    </cacheField>
    <cacheField name="Amount" numFmtId="0">
      <sharedItems containsMixedTypes="1" containsNumber="1" containsInteger="1" minValue="2000" maxValue="79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26.947810532409" createdVersion="8" refreshedVersion="8" minRefreshableVersion="3" recordCount="11" xr:uid="{39E2217F-E845-44B7-8581-9511AA4B7101}">
  <cacheSource type="worksheet">
    <worksheetSource name="Table5"/>
  </cacheSource>
  <cacheFields count="8">
    <cacheField name="HSN Code " numFmtId="0">
      <sharedItems containsMixedTypes="1" containsNumber="1" containsInteger="1" minValue="0" maxValue="0"/>
    </cacheField>
    <cacheField name="Product Name" numFmtId="0">
      <sharedItems containsMixedTypes="1" containsNumber="1" containsInteger="1" minValue="0" maxValue="0" count="11">
        <s v="Smart Watch"/>
        <s v="Laptop HP xyz i5"/>
        <s v="Wireless Printer"/>
        <s v="Desktop"/>
        <s v="Mouse"/>
        <s v="Rgb Keyboard"/>
        <s v="Camera"/>
        <s v="Headphones"/>
        <s v="Speakers"/>
        <s v="Tablets"/>
        <n v="0"/>
      </sharedItems>
    </cacheField>
    <cacheField name="Cost" numFmtId="0">
      <sharedItems containsSemiMixedTypes="0" containsString="0" containsNumber="1" containsInteger="1" minValue="0" maxValue="52000"/>
    </cacheField>
    <cacheField name="P Units" numFmtId="0">
      <sharedItems containsSemiMixedTypes="0" containsString="0" containsNumber="1" containsInteger="1" minValue="0" maxValue="300"/>
    </cacheField>
    <cacheField name="S Units" numFmtId="0">
      <sharedItems containsSemiMixedTypes="0" containsString="0" containsNumber="1" containsInteger="1" minValue="0" maxValue="50"/>
    </cacheField>
    <cacheField name="Stock" numFmtId="0">
      <sharedItems containsSemiMixedTypes="0" containsString="0" containsNumber="1" containsInteger="1" minValue="0" maxValue="254"/>
    </cacheField>
    <cacheField name="Stock Amt" numFmtId="0">
      <sharedItems containsSemiMixedTypes="0" containsString="0" containsNumber="1" containsInteger="1" minValue="0" maxValue="931500"/>
    </cacheField>
    <cacheField name="Notifi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100"/>
    <s v="Ram sales"/>
    <s v="Ram@gmail.com"/>
    <s v="Delhi, India"/>
  </r>
  <r>
    <n v="101"/>
    <s v="Atul Ltd."/>
    <s v="Atu@gmail.com"/>
    <s v="121102, Palwal, HR"/>
  </r>
  <r>
    <n v="102"/>
    <s v="MK Tech."/>
    <s v="MK @gmail.com"/>
    <s v="Faridabad, 121101"/>
  </r>
  <r>
    <n v="103"/>
    <s v="99store"/>
    <s v="99s@gmail.com"/>
    <s v="Agra, UP"/>
  </r>
  <r>
    <n v="104"/>
    <s v="Rajesh Kumar"/>
    <s v="Raj@gmail.com"/>
    <s v="New Delhi, 110011"/>
  </r>
  <r>
    <n v="105"/>
    <s v="Amit "/>
    <s v="Ami@gmail.com"/>
    <s v="Gurgaon, Sec-15"/>
  </r>
  <r>
    <n v="106"/>
    <s v="Jain Tel."/>
    <s v="Jai@gmail.com"/>
    <s v="Janpath, New Delhi"/>
  </r>
  <r>
    <n v="107"/>
    <s v="prnv"/>
    <s v="prnv@gmail.com"/>
    <s v="nagpur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N1001"/>
    <s v="Smart Watch"/>
    <n v="980"/>
    <n v="1176"/>
  </r>
  <r>
    <s v="N1002"/>
    <s v="Laptop HP xyz i5"/>
    <n v="34500"/>
    <n v="41400"/>
  </r>
  <r>
    <s v="N1003"/>
    <s v="Wireless Printer"/>
    <n v="4600"/>
    <n v="5520"/>
  </r>
  <r>
    <s v="N1004"/>
    <s v="Desktop"/>
    <n v="21000"/>
    <n v="25200"/>
  </r>
  <r>
    <s v="N1005"/>
    <s v="Mouse"/>
    <n v="200"/>
    <n v="240"/>
  </r>
  <r>
    <s v="N1006"/>
    <s v="Rgb Keyboard"/>
    <n v="340"/>
    <n v="408"/>
  </r>
  <r>
    <s v="N1007"/>
    <s v="Camera"/>
    <n v="52000"/>
    <n v="62400"/>
  </r>
  <r>
    <s v="N1008"/>
    <s v="Headphones"/>
    <n v="799"/>
    <n v="958.8"/>
  </r>
  <r>
    <s v="N1009"/>
    <s v="Speakers"/>
    <n v="670"/>
    <n v="804"/>
  </r>
  <r>
    <s v="N1010"/>
    <s v="Tablets"/>
    <n v="23500"/>
    <n v="282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N1002"/>
    <s v="Laptop HP xyz i5"/>
    <s v="Tech99"/>
    <m/>
    <n v="50"/>
    <n v="34500"/>
    <n v="1725000"/>
  </r>
  <r>
    <s v="N1004"/>
    <s v="Desktop"/>
    <s v="GG Traders"/>
    <m/>
    <n v="34"/>
    <n v="21000"/>
    <n v="714000"/>
  </r>
  <r>
    <s v="N1003"/>
    <s v="Wireless Printer"/>
    <s v="Tech99"/>
    <m/>
    <n v="25"/>
    <n v="4600"/>
    <n v="115000"/>
  </r>
  <r>
    <s v="N1006"/>
    <s v="Rgb Keyboard"/>
    <s v="GG Traders"/>
    <m/>
    <n v="7"/>
    <n v="340"/>
    <n v="2380"/>
  </r>
  <r>
    <s v="N1008"/>
    <s v="Headphones"/>
    <s v="Compac"/>
    <d v="2026-01-01T00:00:00"/>
    <n v="5"/>
    <n v="799"/>
    <n v="3995"/>
  </r>
  <r>
    <s v="N1005"/>
    <s v="Mouse"/>
    <s v="GG Traders"/>
    <m/>
    <n v="300"/>
    <n v="200"/>
    <n v="60000"/>
  </r>
  <r>
    <s v="N1009"/>
    <s v="Speakers"/>
    <s v="Compac"/>
    <d v="2026-01-02T00:00:00"/>
    <n v="100"/>
    <n v="670"/>
    <n v="67000"/>
  </r>
  <r>
    <s v="N1001"/>
    <s v="Smart Watch"/>
    <s v="Tech99"/>
    <d v="2026-01-02T00:00:00"/>
    <n v="200"/>
    <n v="980"/>
    <n v="196000"/>
  </r>
  <r>
    <m/>
    <s v=""/>
    <s v=""/>
    <m/>
    <m/>
    <s v=""/>
    <s v=""/>
  </r>
  <r>
    <m/>
    <s v=""/>
    <s v=""/>
    <m/>
    <m/>
    <s v=""/>
    <s v=""/>
  </r>
  <r>
    <m/>
    <s v=""/>
    <s v=""/>
    <m/>
    <m/>
    <s v=""/>
    <s v=""/>
  </r>
  <r>
    <m/>
    <s v=""/>
    <s v=""/>
    <m/>
    <m/>
    <s v=""/>
    <s v=""/>
  </r>
  <r>
    <m/>
    <s v=""/>
    <s v=""/>
    <m/>
    <m/>
    <s v=""/>
    <s v="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00"/>
    <x v="0"/>
    <s v="N1001"/>
    <s v="Smart Watch"/>
    <d v="2026-01-01T00:00:00"/>
    <n v="150"/>
    <n v="20"/>
    <n v="980"/>
    <n v="19600"/>
  </r>
  <r>
    <n v="103"/>
    <x v="1"/>
    <s v="N1005"/>
    <s v="Mouse"/>
    <d v="2026-02-02T00:00:00"/>
    <n v="254"/>
    <n v="36"/>
    <n v="200"/>
    <n v="7200"/>
  </r>
  <r>
    <n v="102"/>
    <x v="2"/>
    <s v="N1002"/>
    <s v="Laptop HP xyz i5"/>
    <m/>
    <n v="27"/>
    <n v="23"/>
    <n v="34500"/>
    <n v="793500"/>
  </r>
  <r>
    <n v="105"/>
    <x v="3"/>
    <s v="N1005"/>
    <s v="Mouse"/>
    <d v="2026-01-03T00:00:00"/>
    <n v="254"/>
    <n v="10"/>
    <n v="200"/>
    <n v="2000"/>
  </r>
  <r>
    <n v="105"/>
    <x v="3"/>
    <s v="N1009"/>
    <s v="Speakers"/>
    <d v="2026-01-03T00:00:00"/>
    <n v="80"/>
    <n v="20"/>
    <n v="670"/>
    <n v="13400"/>
  </r>
  <r>
    <n v="101"/>
    <x v="4"/>
    <s v="N1001"/>
    <s v="Smart Watch"/>
    <d v="2026-01-04T00:00:00"/>
    <n v="150"/>
    <n v="30"/>
    <n v="980"/>
    <n v="29400"/>
  </r>
  <r>
    <m/>
    <x v="5"/>
    <m/>
    <s v=""/>
    <m/>
    <n v="0"/>
    <m/>
    <s v=""/>
    <s v=""/>
  </r>
  <r>
    <m/>
    <x v="5"/>
    <m/>
    <s v=""/>
    <m/>
    <n v="0"/>
    <m/>
    <s v=""/>
    <s v=""/>
  </r>
  <r>
    <m/>
    <x v="5"/>
    <m/>
    <s v=""/>
    <m/>
    <n v="0"/>
    <m/>
    <s v=""/>
    <s v=""/>
  </r>
  <r>
    <m/>
    <x v="5"/>
    <m/>
    <s v=""/>
    <m/>
    <n v="0"/>
    <m/>
    <s v=""/>
    <s v=""/>
  </r>
  <r>
    <m/>
    <x v="5"/>
    <m/>
    <s v=""/>
    <m/>
    <n v="0"/>
    <m/>
    <s v=""/>
    <s v=""/>
  </r>
  <r>
    <m/>
    <x v="5"/>
    <m/>
    <s v=""/>
    <m/>
    <n v="0"/>
    <m/>
    <s v=""/>
    <s v=""/>
  </r>
  <r>
    <m/>
    <x v="5"/>
    <m/>
    <s v=""/>
    <m/>
    <n v="0"/>
    <m/>
    <s v=""/>
    <s v=""/>
  </r>
  <r>
    <m/>
    <x v="5"/>
    <m/>
    <s v=""/>
    <m/>
    <n v="0"/>
    <m/>
    <s v=""/>
    <s v=""/>
  </r>
  <r>
    <m/>
    <x v="5"/>
    <m/>
    <s v=""/>
    <m/>
    <n v="0"/>
    <m/>
    <s v=""/>
    <s v="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s v="N1001"/>
    <x v="0"/>
    <n v="980"/>
    <n v="200"/>
    <n v="50"/>
    <n v="150"/>
    <n v="147000"/>
    <s v=""/>
  </r>
  <r>
    <s v="N1002"/>
    <x v="1"/>
    <n v="34500"/>
    <n v="50"/>
    <n v="23"/>
    <n v="27"/>
    <n v="931500"/>
    <s v=""/>
  </r>
  <r>
    <s v="N1003"/>
    <x v="2"/>
    <n v="4600"/>
    <n v="25"/>
    <n v="0"/>
    <n v="25"/>
    <n v="115000"/>
    <s v=""/>
  </r>
  <r>
    <s v="N1004"/>
    <x v="3"/>
    <n v="21000"/>
    <n v="34"/>
    <n v="0"/>
    <n v="34"/>
    <n v="714000"/>
    <s v=""/>
  </r>
  <r>
    <s v="N1005"/>
    <x v="4"/>
    <n v="200"/>
    <n v="300"/>
    <n v="46"/>
    <n v="254"/>
    <n v="50800"/>
    <s v=""/>
  </r>
  <r>
    <s v="N1006"/>
    <x v="5"/>
    <n v="340"/>
    <n v="7"/>
    <n v="0"/>
    <n v="7"/>
    <n v="2380"/>
    <s v=""/>
  </r>
  <r>
    <s v="N1007"/>
    <x v="6"/>
    <n v="52000"/>
    <n v="0"/>
    <n v="0"/>
    <n v="0"/>
    <n v="0"/>
    <s v="📞 Camera Needs to reorder ! PH 9813xxxxxx"/>
  </r>
  <r>
    <s v="N1008"/>
    <x v="7"/>
    <n v="799"/>
    <n v="5"/>
    <n v="0"/>
    <n v="5"/>
    <n v="3995"/>
    <s v=""/>
  </r>
  <r>
    <s v="N1009"/>
    <x v="8"/>
    <n v="670"/>
    <n v="100"/>
    <n v="20"/>
    <n v="80"/>
    <n v="53600"/>
    <s v=""/>
  </r>
  <r>
    <s v="N1010"/>
    <x v="9"/>
    <n v="23500"/>
    <n v="0"/>
    <n v="0"/>
    <n v="0"/>
    <n v="0"/>
    <s v="📞 Tablets Needs to reorder ! PH 9814xxxxxx"/>
  </r>
  <r>
    <n v="0"/>
    <x v="10"/>
    <n v="0"/>
    <n v="0"/>
    <n v="0"/>
    <n v="0"/>
    <n v="0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467BE0-1661-406F-B888-3018E8F7F8E1}" name="PivotTable8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25:B36" firstHeaderRow="1" firstDataRow="1" firstDataCol="1"/>
  <pivotFields count="8">
    <pivotField showAll="0"/>
    <pivotField axis="axisRow" showAll="0">
      <items count="12">
        <item h="1" x="10"/>
        <item x="6"/>
        <item x="3"/>
        <item x="7"/>
        <item x="1"/>
        <item x="4"/>
        <item x="5"/>
        <item x="0"/>
        <item x="8"/>
        <item x="9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Stock" fld="5" baseField="0" baseItem="0"/>
  </dataFields>
  <chartFormats count="2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1A38D2-56A7-4985-A847-295D7AE4CA2E}" name="PivotTable4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A12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1497FF-574C-456C-850E-49B970AA76F1}" name="PivotTable3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A9" firstHeaderRow="1" firstDataRow="1" firstDataCol="0"/>
  <pivotFields count="7"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A97340-F4F9-4EFA-96D5-23AACF58237D}" name="PivotTable2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A6" firstHeaderRow="1" firstDataRow="1" firstDataCol="0"/>
  <pivotFields count="4"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Count of Product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4BBCB6-247A-4E2B-B17E-8458C92CFBA0}" name="PivotTable7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E16:F22" firstHeaderRow="1" firstDataRow="1" firstDataCol="1"/>
  <pivotFields count="9">
    <pivotField showAll="0"/>
    <pivotField axis="axisRow" showAll="0" measureFilter="1" sortType="descending">
      <items count="7">
        <item x="5"/>
        <item x="1"/>
        <item x="3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6">
    <i>
      <x v="4"/>
    </i>
    <i>
      <x v="3"/>
    </i>
    <i>
      <x v="5"/>
    </i>
    <i>
      <x v="2"/>
    </i>
    <i>
      <x v="1"/>
    </i>
    <i t="grand">
      <x/>
    </i>
  </rowItems>
  <colItems count="1">
    <i/>
  </colItems>
  <dataFields count="1">
    <dataField name="Sum of Amount" fld="8" baseField="1" baseItem="0"/>
  </dataFields>
  <chartFormats count="3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E0E396-BD7D-44D0-88CF-985A7659459A}" name="PivotTable6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E2:F14" firstHeaderRow="1" firstDataRow="1" firstDataCol="1"/>
  <pivotFields count="8">
    <pivotField showAll="0"/>
    <pivotField axis="axisRow" showAll="0" measureFilter="1">
      <items count="12">
        <item x="10"/>
        <item x="6"/>
        <item x="3"/>
        <item x="7"/>
        <item x="1"/>
        <item x="4"/>
        <item x="5"/>
        <item x="0"/>
        <item x="8"/>
        <item x="9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S Units" fld="4" baseField="0" baseItem="0"/>
  </dataFields>
  <chartFormats count="1"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A8216B-995F-431C-A532-348EDB9A31C4}" name="PivotTable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A3" firstHeaderRow="1" firstDataRow="1" firstDataCol="0"/>
  <pivotFields count="4"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Count of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F589DC-C77E-4B7B-BA82-23C9F368E790}" name="PivotTable5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A15" firstHeaderRow="1" firstDataRow="1" firstDataCol="0"/>
  <pivotFields count="8">
    <pivotField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Sum of Stock Am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AD5182-7E5A-4DFE-9B8A-C38FFEE4E4C9}" name="customersdata" displayName="customersdata" ref="D7:G15" totalsRowShown="0" headerRowDxfId="48" dataDxfId="47">
  <autoFilter ref="D7:G15" xr:uid="{CFAD5182-7E5A-4DFE-9B8A-C38FFEE4E4C9}"/>
  <tableColumns count="4">
    <tableColumn id="1" xr3:uid="{282673E2-E7AF-4073-8B06-47231F0127A8}" name="Cust_ID" dataDxfId="46"/>
    <tableColumn id="2" xr3:uid="{9D403EAA-1D16-462F-B3B1-51AF692A80E8}" name="Name" dataDxfId="45"/>
    <tableColumn id="3" xr3:uid="{0FF79A1E-B0DA-4862-BF5B-CF5EE0B9F139}" name="Email" dataDxfId="44"/>
    <tableColumn id="4" xr3:uid="{EEF8AAF2-C295-40A9-A546-0C097DB9BCA7}" name="Address" dataDxfId="4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4A25A09-9096-4335-8B30-33A75008E442}" name="ProductsData" displayName="ProductsData" ref="D7:G17" totalsRowShown="0" headerRowDxfId="42" dataDxfId="41">
  <autoFilter ref="D7:G17" xr:uid="{34A25A09-9096-4335-8B30-33A75008E442}"/>
  <tableColumns count="4">
    <tableColumn id="1" xr3:uid="{449A5E67-2575-4096-B6B2-69992DC67238}" name="HSN Code" dataDxfId="40"/>
    <tableColumn id="2" xr3:uid="{341CE74D-A421-4EB3-BF7D-A658B6C5C56E}" name="Product Name" dataDxfId="39"/>
    <tableColumn id="3" xr3:uid="{A799D81E-7CD7-4480-B390-B794B9482739}" name="Cost" dataDxfId="38"/>
    <tableColumn id="4" xr3:uid="{07B38216-7E58-487A-AC37-4F7FD952316C}" name="Selling Price" dataDxfId="3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B92ABF85-1D0B-41F2-B895-6F27FF1CA826}" name="Table26" displayName="Table26" ref="D7:H17" totalsRowShown="0" headerRowDxfId="36" dataDxfId="35">
  <autoFilter ref="D7:H17" xr:uid="{B92ABF85-1D0B-41F2-B895-6F27FF1CA826}"/>
  <tableColumns count="5">
    <tableColumn id="1" xr3:uid="{28654F55-9A71-4053-B37D-8CA4F59B0659}" name="HSN Code" dataDxfId="34"/>
    <tableColumn id="2" xr3:uid="{EF7DA444-5D9E-4619-A8D7-53791A277060}" name="Product Name" dataDxfId="33"/>
    <tableColumn id="3" xr3:uid="{D843E13B-DC8E-43DE-8D83-4090F0F40A11}" name="Vendor Name" dataDxfId="32"/>
    <tableColumn id="4" xr3:uid="{2089404C-9A6E-446F-941F-9BBD249E014C}" name="Phone" dataDxfId="31"/>
    <tableColumn id="5" xr3:uid="{1B1CE974-392D-4C47-82AA-5B709D42B922}" name="Address" dataDxfId="3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90B02C1D-2545-4F5A-A621-E4EE56C50BAD}" name="Purchasedata" displayName="Purchasedata" ref="D7:J20" totalsRowShown="0" headerRowDxfId="29" dataDxfId="28">
  <autoFilter ref="D7:J20" xr:uid="{90B02C1D-2545-4F5A-A621-E4EE56C50BAD}"/>
  <tableColumns count="7">
    <tableColumn id="1" xr3:uid="{3ACE71CB-3998-4125-9F95-D0C773146DAD}" name="HSN Code" dataDxfId="27"/>
    <tableColumn id="2" xr3:uid="{F89CAAD9-CDA1-4283-B59C-5D774712F9D6}" name="Product Name" dataDxfId="26">
      <calculatedColumnFormula>IFERROR(VLOOKUP(Purchasedata[[#This Row],[HSN Code]],ProductsData[#All],2,0),"")</calculatedColumnFormula>
    </tableColumn>
    <tableColumn id="3" xr3:uid="{88391FA7-6C17-4050-98C5-8A4460BF9DD2}" name="Vendor" dataDxfId="25">
      <calculatedColumnFormula>IFERROR(VLOOKUP(Purchasedata[[#This Row],[HSN Code]],Table26[#All],3,0),"")</calculatedColumnFormula>
    </tableColumn>
    <tableColumn id="4" xr3:uid="{B5E69659-A6DA-416F-B222-087692D18B3F}" name="Date" dataDxfId="24"/>
    <tableColumn id="5" xr3:uid="{87A1010D-EEA4-4AB6-B71E-20B347048DD9}" name="Units" dataDxfId="23"/>
    <tableColumn id="6" xr3:uid="{7F72E2F8-F18D-4A97-82A3-1BA5AACEF696}" name="Cost" dataDxfId="22">
      <calculatedColumnFormula>IFERROR(VLOOKUP(Purchasedata[[#This Row],[HSN Code]],ProductsData[#All],3,0),"")</calculatedColumnFormula>
    </tableColumn>
    <tableColumn id="7" xr3:uid="{499C5860-D384-4C70-879C-11A902307F0D}" name="Amount" dataDxfId="21">
      <calculatedColumnFormula>IFERROR(Purchasedata[[#This Row],[Units]]*Purchasedata[[#This Row],[Cost]],"")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C35CCD-37C9-4A2E-AC3A-7FBA1DAE5D57}" name="Table3" displayName="Table3" ref="D6:L21" totalsRowShown="0" headerRowDxfId="20" dataDxfId="19">
  <autoFilter ref="D6:L21" xr:uid="{BDC35CCD-37C9-4A2E-AC3A-7FBA1DAE5D57}"/>
  <tableColumns count="9">
    <tableColumn id="1" xr3:uid="{29C8951C-7385-49DF-8DF0-7ECA37EB9D5C}" name="Cust_Id" dataDxfId="18"/>
    <tableColumn id="2" xr3:uid="{C7015463-A468-40EA-BEDC-EF9BAC9EADF3}" name="Cust_Name" dataDxfId="17">
      <calculatedColumnFormula>IFERROR(VLOOKUP(Table3[[#This Row],[Cust_Id]],customersdata[#All],2,0),"")</calculatedColumnFormula>
    </tableColumn>
    <tableColumn id="3" xr3:uid="{396E7363-49B1-4764-9FAA-137DAF2C9046}" name="HSN Code" dataDxfId="16"/>
    <tableColumn id="4" xr3:uid="{98A0529E-A963-4167-909C-2197868A664F}" name="Product Name" dataDxfId="15">
      <calculatedColumnFormula>IFERROR(VLOOKUP(Table3[[#This Row],[HSN Code]],ProductsData[#All],2,0),"")</calculatedColumnFormula>
    </tableColumn>
    <tableColumn id="5" xr3:uid="{0439204B-0C79-4C7C-A96B-93224B186526}" name="Date" dataDxfId="14"/>
    <tableColumn id="6" xr3:uid="{AF07FA23-E9A4-4AA5-9555-1342D80D0DDF}" name="Stock(Units)" dataDxfId="13">
      <calculatedColumnFormula>VLOOKUP(Table3[[#This Row],[HSN Code]],Table5[#All],6,0)</calculatedColumnFormula>
    </tableColumn>
    <tableColumn id="7" xr3:uid="{B499E1DF-2A4D-480C-94B8-A9200F343936}" name="Units" dataDxfId="12"/>
    <tableColumn id="8" xr3:uid="{6CF9C38E-565B-49E2-89A3-84B44FCCF59A}" name="Price" dataDxfId="11">
      <calculatedColumnFormula>IFERROR(VLOOKUP(Table3[[#This Row],[HSN Code]],ProductsData[#All],3,0),"")</calculatedColumnFormula>
    </tableColumn>
    <tableColumn id="9" xr3:uid="{1216EC48-0FF2-4E14-B554-E3B2828C157D}" name="Amount" dataDxfId="10">
      <calculatedColumnFormula>IFERROR(Table3[[#This Row],[Price]]*Table3[[#This Row],[Units]],"")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0550D53-64E8-454D-9882-5E4874A6A707}" name="Table5" displayName="Table5" ref="D6:K17" totalsRowShown="0" headerRowDxfId="9" dataDxfId="8">
  <autoFilter ref="D6:K17" xr:uid="{E0550D53-64E8-454D-9882-5E4874A6A707}"/>
  <tableColumns count="8">
    <tableColumn id="1" xr3:uid="{B68B28E7-9A61-40DF-9456-C21F68030E4E}" name="HSN Code " dataDxfId="7">
      <calculatedColumnFormula>IFERROR(Products!D8,"")</calculatedColumnFormula>
    </tableColumn>
    <tableColumn id="2" xr3:uid="{A0601626-46C5-49AA-BDF3-EB86EED1FA4F}" name="Product Name" dataDxfId="6">
      <calculatedColumnFormula>IFERROR(Products!E8,"")</calculatedColumnFormula>
    </tableColumn>
    <tableColumn id="3" xr3:uid="{59598AB2-6EB3-44DE-A1B7-1B1301AA2CFB}" name="Cost" dataDxfId="5">
      <calculatedColumnFormula>IFERROR(Products!F8,"")</calculatedColumnFormula>
    </tableColumn>
    <tableColumn id="4" xr3:uid="{196FC04E-E23D-43A2-8A6F-6331DD67DE10}" name="P Units" dataDxfId="4">
      <calculatedColumnFormula>SUMIF(Purchasedata[Product Name],Table5[[#This Row],[Product Name]],Purchasedata[Units])</calculatedColumnFormula>
    </tableColumn>
    <tableColumn id="5" xr3:uid="{5D3DFA81-B413-42FB-B1CD-6385C6EC8E99}" name="S Units" dataDxfId="3">
      <calculatedColumnFormula>SUMIF(Table3[Product Name],Table5[[#This Row],[Product Name]],Table3[Units])</calculatedColumnFormula>
    </tableColumn>
    <tableColumn id="6" xr3:uid="{0039A959-75E9-4688-B6DB-7196B87C4E4C}" name="Stock" dataDxfId="2">
      <calculatedColumnFormula>Table5[[#This Row],[P Units]]-Table5[[#This Row],[S Units]]</calculatedColumnFormula>
    </tableColumn>
    <tableColumn id="7" xr3:uid="{5B6793FA-222A-40F4-8654-1EA2B1DEBC6B}" name="Stock Amt" dataDxfId="1">
      <calculatedColumnFormula>Table5[[#This Row],[Cost]]*Table5[[#This Row],[Stock]]</calculatedColumnFormula>
    </tableColumn>
    <tableColumn id="8" xr3:uid="{D10DFD4B-FAFF-4D89-8A81-ED6D9EE6CBDC}" name="Notification" dataDxfId="0">
      <calculatedColumnFormula>IFERROR(IF(Table5[[#This Row],[Stock]]&lt;5,"📞 " &amp;Table5[[#This Row],[Product Name]]&amp;" Needs to reorder ! PH "&amp;VLOOKUP(Table5[[#This Row],[HSN Code ]],Table26[#All],4,0),""),"")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hyperlink" Target="mailto:prnv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A95A8-4C91-4698-A7F7-4A069F5FDB92}">
  <dimension ref="B1:U35"/>
  <sheetViews>
    <sheetView showGridLines="0" tabSelected="1" zoomScale="85" zoomScaleNormal="85" workbookViewId="0">
      <selection activeCell="X26" sqref="X26"/>
    </sheetView>
  </sheetViews>
  <sheetFormatPr defaultRowHeight="15" x14ac:dyDescent="0.25"/>
  <cols>
    <col min="1" max="1" width="4" style="1" customWidth="1"/>
    <col min="2" max="2" width="25.28515625" style="1" customWidth="1"/>
    <col min="3" max="3" width="2.42578125" style="1" customWidth="1"/>
    <col min="4" max="16384" width="9.140625" style="1"/>
  </cols>
  <sheetData>
    <row r="1" spans="2:21" ht="18.75" customHeight="1" x14ac:dyDescent="0.25"/>
    <row r="2" spans="2:21" x14ac:dyDescent="0.25">
      <c r="B2" s="2"/>
    </row>
    <row r="3" spans="2:21" x14ac:dyDescent="0.25">
      <c r="B3" s="2"/>
    </row>
    <row r="4" spans="2:21" x14ac:dyDescent="0.25">
      <c r="B4" s="2"/>
    </row>
    <row r="5" spans="2:21" x14ac:dyDescent="0.25">
      <c r="B5" s="2"/>
    </row>
    <row r="6" spans="2:21" x14ac:dyDescent="0.25">
      <c r="B6" s="2"/>
    </row>
    <row r="7" spans="2:21" x14ac:dyDescent="0.25">
      <c r="B7" s="2"/>
    </row>
    <row r="8" spans="2:21" x14ac:dyDescent="0.25">
      <c r="B8" s="2"/>
    </row>
    <row r="9" spans="2:21" x14ac:dyDescent="0.25">
      <c r="B9" s="2"/>
    </row>
    <row r="10" spans="2:21" x14ac:dyDescent="0.25">
      <c r="B10" s="2"/>
    </row>
    <row r="11" spans="2:21" ht="15.75" customHeight="1" x14ac:dyDescent="0.25">
      <c r="B11" s="2"/>
    </row>
    <row r="12" spans="2:21" x14ac:dyDescent="0.25">
      <c r="B12" s="2"/>
      <c r="O12" s="12"/>
      <c r="P12" s="12"/>
      <c r="Q12" s="12"/>
      <c r="R12" s="12"/>
      <c r="S12" s="12"/>
      <c r="T12" s="12"/>
      <c r="U12" s="12"/>
    </row>
    <row r="13" spans="2:21" x14ac:dyDescent="0.25">
      <c r="B13" s="2"/>
      <c r="O13" s="12"/>
      <c r="P13" s="12"/>
      <c r="Q13" s="12"/>
      <c r="R13" s="12"/>
      <c r="S13" s="12"/>
      <c r="T13" s="12"/>
      <c r="U13" s="12"/>
    </row>
    <row r="14" spans="2:21" x14ac:dyDescent="0.25">
      <c r="B14" s="2"/>
      <c r="O14" s="15" t="str" cm="1">
        <f t="array" ref="O14">_xlfn._xlws.FILTER(Table5[Notification],Table5[Notification]&lt;&gt;"")</f>
        <v>📞 Camera Needs to reorder ! PH 9813xxxxxx</v>
      </c>
      <c r="P14" s="11"/>
      <c r="Q14" s="11"/>
      <c r="R14" s="11"/>
      <c r="S14" s="11"/>
      <c r="T14" s="11"/>
      <c r="U14" s="11"/>
    </row>
    <row r="15" spans="2:21" ht="18" customHeight="1" x14ac:dyDescent="0.25">
      <c r="B15" s="2"/>
      <c r="O15" s="15"/>
      <c r="P15" s="11"/>
      <c r="Q15" s="11"/>
      <c r="R15" s="11"/>
      <c r="S15" s="11"/>
      <c r="T15" s="11"/>
      <c r="U15" s="11"/>
    </row>
    <row r="16" spans="2:21" x14ac:dyDescent="0.25">
      <c r="B16" s="2"/>
      <c r="O16" s="15"/>
      <c r="P16" s="11"/>
      <c r="Q16" s="11"/>
      <c r="R16" s="11"/>
      <c r="S16" s="11"/>
      <c r="T16" s="11"/>
      <c r="U16" s="11"/>
    </row>
    <row r="17" spans="2:21" x14ac:dyDescent="0.25">
      <c r="B17" s="2"/>
      <c r="O17" s="15"/>
      <c r="P17" s="11"/>
      <c r="Q17" s="11"/>
      <c r="R17" s="11"/>
      <c r="S17" s="11"/>
      <c r="T17" s="11"/>
      <c r="U17" s="11"/>
    </row>
    <row r="18" spans="2:21" x14ac:dyDescent="0.25">
      <c r="B18" s="2"/>
      <c r="O18" s="15"/>
      <c r="P18" s="11"/>
      <c r="Q18" s="11"/>
      <c r="R18" s="11"/>
      <c r="S18" s="11"/>
      <c r="T18" s="11"/>
      <c r="U18" s="11"/>
    </row>
    <row r="19" spans="2:21" x14ac:dyDescent="0.25">
      <c r="B19" s="2"/>
      <c r="O19" s="15"/>
      <c r="P19" s="11"/>
      <c r="Q19" s="11"/>
      <c r="R19" s="11"/>
      <c r="S19" s="11"/>
      <c r="T19" s="11"/>
      <c r="U19" s="11"/>
    </row>
    <row r="20" spans="2:21" x14ac:dyDescent="0.25">
      <c r="B20" s="2"/>
      <c r="O20" s="15"/>
      <c r="P20" s="11"/>
      <c r="Q20" s="11"/>
      <c r="R20" s="11"/>
      <c r="S20" s="11"/>
      <c r="T20" s="11"/>
      <c r="U20" s="11"/>
    </row>
    <row r="21" spans="2:21" x14ac:dyDescent="0.25">
      <c r="B21" s="2"/>
      <c r="O21" s="15"/>
      <c r="P21" s="11"/>
      <c r="Q21" s="11"/>
      <c r="R21" s="11"/>
      <c r="S21" s="11"/>
      <c r="T21" s="11"/>
      <c r="U21" s="11"/>
    </row>
    <row r="22" spans="2:21" x14ac:dyDescent="0.25">
      <c r="B22" s="2"/>
      <c r="O22" s="15"/>
      <c r="P22" s="11"/>
      <c r="Q22" s="11"/>
      <c r="R22" s="11"/>
      <c r="S22" s="11"/>
      <c r="T22" s="11"/>
      <c r="U22" s="11"/>
    </row>
    <row r="23" spans="2:21" x14ac:dyDescent="0.25">
      <c r="B23" s="2"/>
      <c r="O23" s="15"/>
      <c r="P23" s="11"/>
      <c r="Q23" s="11"/>
      <c r="R23" s="11"/>
      <c r="S23" s="11"/>
      <c r="T23" s="11"/>
      <c r="U23" s="11"/>
    </row>
    <row r="24" spans="2:21" x14ac:dyDescent="0.25">
      <c r="B24" s="2"/>
      <c r="O24" s="15"/>
      <c r="P24" s="11"/>
      <c r="Q24" s="11"/>
      <c r="R24" s="11"/>
      <c r="S24" s="11"/>
      <c r="T24" s="11"/>
      <c r="U24" s="11"/>
    </row>
    <row r="25" spans="2:21" x14ac:dyDescent="0.25">
      <c r="B25" s="2"/>
      <c r="O25" s="15"/>
      <c r="P25" s="11"/>
      <c r="Q25" s="11"/>
      <c r="R25" s="11"/>
      <c r="S25" s="11"/>
      <c r="T25" s="11"/>
      <c r="U25" s="11"/>
    </row>
    <row r="26" spans="2:21" x14ac:dyDescent="0.25">
      <c r="B26" s="2"/>
      <c r="O26" s="15"/>
      <c r="P26" s="11"/>
      <c r="Q26" s="11"/>
      <c r="R26" s="11"/>
      <c r="S26" s="11"/>
      <c r="T26" s="11"/>
      <c r="U26" s="11"/>
    </row>
    <row r="27" spans="2:21" x14ac:dyDescent="0.25">
      <c r="B27" s="2"/>
      <c r="O27" s="15"/>
      <c r="P27" s="11"/>
      <c r="Q27" s="11"/>
      <c r="R27" s="11"/>
      <c r="S27" s="11"/>
      <c r="T27" s="11"/>
      <c r="U27" s="11"/>
    </row>
    <row r="28" spans="2:21" x14ac:dyDescent="0.25">
      <c r="B28" s="2"/>
      <c r="O28" s="15"/>
      <c r="P28" s="11"/>
      <c r="Q28" s="11"/>
      <c r="R28" s="11"/>
      <c r="S28" s="11"/>
      <c r="T28" s="11"/>
      <c r="U28" s="11"/>
    </row>
    <row r="29" spans="2:21" x14ac:dyDescent="0.25">
      <c r="B29" s="2"/>
      <c r="O29" s="15"/>
      <c r="P29" s="11"/>
      <c r="Q29" s="11"/>
      <c r="R29" s="11"/>
      <c r="S29" s="11"/>
      <c r="T29" s="11"/>
      <c r="U29" s="11"/>
    </row>
    <row r="30" spans="2:21" x14ac:dyDescent="0.25">
      <c r="B30" s="2"/>
      <c r="O30" s="15"/>
      <c r="P30" s="11"/>
      <c r="Q30" s="11"/>
      <c r="R30" s="11"/>
      <c r="S30" s="11"/>
      <c r="T30" s="11"/>
      <c r="U30" s="11"/>
    </row>
    <row r="31" spans="2:21" x14ac:dyDescent="0.25">
      <c r="B31" s="2"/>
      <c r="O31" s="15"/>
      <c r="P31" s="11"/>
      <c r="Q31" s="11"/>
      <c r="R31" s="11"/>
      <c r="S31" s="11"/>
      <c r="T31" s="11"/>
      <c r="U31" s="11"/>
    </row>
    <row r="32" spans="2:21" x14ac:dyDescent="0.25">
      <c r="B32" s="2"/>
      <c r="O32" s="15"/>
      <c r="P32" s="11"/>
      <c r="Q32" s="11"/>
      <c r="R32" s="11"/>
      <c r="S32" s="11"/>
      <c r="T32" s="11"/>
      <c r="U32" s="11"/>
    </row>
    <row r="33" spans="2:21" x14ac:dyDescent="0.25">
      <c r="B33" s="2"/>
      <c r="O33" s="15"/>
      <c r="P33" s="11"/>
      <c r="Q33" s="11"/>
      <c r="R33" s="11"/>
      <c r="S33" s="11"/>
      <c r="T33" s="11"/>
      <c r="U33" s="11"/>
    </row>
    <row r="34" spans="2:21" x14ac:dyDescent="0.25">
      <c r="B34" s="2"/>
      <c r="O34" s="15"/>
      <c r="P34" s="11"/>
      <c r="Q34" s="11"/>
      <c r="R34" s="11"/>
      <c r="S34" s="11"/>
      <c r="T34" s="11"/>
      <c r="U34" s="11"/>
    </row>
    <row r="35" spans="2:21" x14ac:dyDescent="0.25">
      <c r="B35" s="2"/>
      <c r="O35" s="15"/>
      <c r="P35" s="11"/>
      <c r="Q35" s="11"/>
      <c r="R35" s="11"/>
      <c r="S35" s="11"/>
      <c r="T35" s="11"/>
      <c r="U35" s="1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6FDCD-C430-47D6-98F6-5DFCE56C17B6}">
  <dimension ref="B1:G35"/>
  <sheetViews>
    <sheetView showGridLines="0" zoomScale="85" zoomScaleNormal="85" workbookViewId="0"/>
  </sheetViews>
  <sheetFormatPr defaultRowHeight="15" x14ac:dyDescent="0.25"/>
  <cols>
    <col min="1" max="1" width="4" style="1" customWidth="1"/>
    <col min="2" max="2" width="25.28515625" style="1" customWidth="1"/>
    <col min="3" max="3" width="3.5703125" style="1" customWidth="1"/>
    <col min="4" max="4" width="13.140625" style="1" customWidth="1"/>
    <col min="5" max="5" width="19" style="1" customWidth="1"/>
    <col min="6" max="6" width="22.140625" style="1" customWidth="1"/>
    <col min="7" max="7" width="27" style="1" customWidth="1"/>
    <col min="8" max="16384" width="9.140625" style="1"/>
  </cols>
  <sheetData>
    <row r="1" spans="2:7" ht="18.75" customHeight="1" x14ac:dyDescent="0.25"/>
    <row r="2" spans="2:7" x14ac:dyDescent="0.25">
      <c r="B2" s="2"/>
    </row>
    <row r="3" spans="2:7" x14ac:dyDescent="0.25">
      <c r="B3" s="2"/>
    </row>
    <row r="4" spans="2:7" x14ac:dyDescent="0.25">
      <c r="B4" s="2"/>
    </row>
    <row r="5" spans="2:7" x14ac:dyDescent="0.25">
      <c r="B5" s="2"/>
    </row>
    <row r="6" spans="2:7" x14ac:dyDescent="0.25">
      <c r="B6" s="2"/>
    </row>
    <row r="7" spans="2:7" x14ac:dyDescent="0.25">
      <c r="B7" s="2"/>
      <c r="D7" s="5" t="s">
        <v>0</v>
      </c>
      <c r="E7" s="1" t="s">
        <v>1</v>
      </c>
      <c r="F7" s="1" t="s">
        <v>2</v>
      </c>
      <c r="G7" s="1" t="s">
        <v>3</v>
      </c>
    </row>
    <row r="8" spans="2:7" x14ac:dyDescent="0.25">
      <c r="B8" s="2"/>
      <c r="D8" s="5">
        <v>100</v>
      </c>
      <c r="E8" s="1" t="s">
        <v>4</v>
      </c>
      <c r="F8" s="1" t="s">
        <v>5</v>
      </c>
      <c r="G8" s="1" t="s">
        <v>6</v>
      </c>
    </row>
    <row r="9" spans="2:7" ht="15.75" customHeight="1" x14ac:dyDescent="0.25">
      <c r="B9" s="2"/>
      <c r="D9" s="5">
        <v>101</v>
      </c>
      <c r="E9" s="1" t="s">
        <v>7</v>
      </c>
      <c r="F9" s="1" t="s">
        <v>8</v>
      </c>
      <c r="G9" s="1" t="s">
        <v>9</v>
      </c>
    </row>
    <row r="10" spans="2:7" ht="16.5" customHeight="1" x14ac:dyDescent="0.25">
      <c r="B10" s="2"/>
      <c r="D10" s="5">
        <v>102</v>
      </c>
      <c r="E10" s="1" t="s">
        <v>10</v>
      </c>
      <c r="F10" s="1" t="s">
        <v>11</v>
      </c>
      <c r="G10" s="1" t="s">
        <v>12</v>
      </c>
    </row>
    <row r="11" spans="2:7" x14ac:dyDescent="0.25">
      <c r="B11" s="2"/>
      <c r="D11" s="5">
        <v>103</v>
      </c>
      <c r="E11" s="1" t="s">
        <v>13</v>
      </c>
      <c r="F11" s="1" t="s">
        <v>14</v>
      </c>
      <c r="G11" s="1" t="s">
        <v>15</v>
      </c>
    </row>
    <row r="12" spans="2:7" ht="14.25" customHeight="1" x14ac:dyDescent="0.25">
      <c r="B12" s="2"/>
      <c r="D12" s="5">
        <v>104</v>
      </c>
      <c r="E12" s="1" t="s">
        <v>16</v>
      </c>
      <c r="F12" s="1" t="s">
        <v>17</v>
      </c>
      <c r="G12" s="1" t="s">
        <v>18</v>
      </c>
    </row>
    <row r="13" spans="2:7" x14ac:dyDescent="0.25">
      <c r="B13" s="2"/>
      <c r="D13" s="5">
        <v>105</v>
      </c>
      <c r="E13" s="1" t="s">
        <v>19</v>
      </c>
      <c r="F13" s="1" t="s">
        <v>20</v>
      </c>
      <c r="G13" s="1" t="s">
        <v>21</v>
      </c>
    </row>
    <row r="14" spans="2:7" x14ac:dyDescent="0.25">
      <c r="B14" s="2"/>
      <c r="D14" s="5">
        <v>106</v>
      </c>
      <c r="E14" s="1" t="s">
        <v>22</v>
      </c>
      <c r="F14" s="1" t="s">
        <v>23</v>
      </c>
      <c r="G14" s="1" t="s">
        <v>24</v>
      </c>
    </row>
    <row r="15" spans="2:7" x14ac:dyDescent="0.25">
      <c r="B15" s="2"/>
      <c r="D15" s="17">
        <v>107</v>
      </c>
      <c r="E15" s="18" t="s">
        <v>95</v>
      </c>
      <c r="F15" s="6" t="s">
        <v>96</v>
      </c>
      <c r="G15" s="18" t="s">
        <v>97</v>
      </c>
    </row>
    <row r="16" spans="2:7" x14ac:dyDescent="0.25">
      <c r="B16" s="2"/>
    </row>
    <row r="17" spans="2:2" x14ac:dyDescent="0.25">
      <c r="B17" s="2"/>
    </row>
    <row r="18" spans="2:2" x14ac:dyDescent="0.25">
      <c r="B18" s="2"/>
    </row>
    <row r="19" spans="2:2" x14ac:dyDescent="0.25">
      <c r="B19" s="2"/>
    </row>
    <row r="20" spans="2:2" x14ac:dyDescent="0.25">
      <c r="B20" s="2"/>
    </row>
    <row r="21" spans="2:2" x14ac:dyDescent="0.25">
      <c r="B21" s="2"/>
    </row>
    <row r="22" spans="2:2" x14ac:dyDescent="0.25">
      <c r="B22" s="2"/>
    </row>
    <row r="23" spans="2:2" x14ac:dyDescent="0.25">
      <c r="B23" s="2"/>
    </row>
    <row r="24" spans="2:2" x14ac:dyDescent="0.25">
      <c r="B24" s="2"/>
    </row>
    <row r="25" spans="2:2" x14ac:dyDescent="0.25">
      <c r="B25" s="2"/>
    </row>
    <row r="26" spans="2:2" x14ac:dyDescent="0.25">
      <c r="B26" s="2"/>
    </row>
    <row r="27" spans="2:2" x14ac:dyDescent="0.25">
      <c r="B27" s="2"/>
    </row>
    <row r="28" spans="2:2" x14ac:dyDescent="0.25">
      <c r="B28" s="2"/>
    </row>
    <row r="29" spans="2:2" x14ac:dyDescent="0.25">
      <c r="B29" s="2"/>
    </row>
    <row r="30" spans="2:2" x14ac:dyDescent="0.25">
      <c r="B30" s="2"/>
    </row>
    <row r="31" spans="2:2" x14ac:dyDescent="0.25">
      <c r="B31" s="2"/>
    </row>
    <row r="32" spans="2:2" x14ac:dyDescent="0.25">
      <c r="B32" s="2"/>
    </row>
    <row r="33" spans="2:2" x14ac:dyDescent="0.25">
      <c r="B33" s="2"/>
    </row>
    <row r="34" spans="2:2" x14ac:dyDescent="0.25">
      <c r="B34" s="2"/>
    </row>
    <row r="35" spans="2:2" x14ac:dyDescent="0.25">
      <c r="B35" s="2"/>
    </row>
  </sheetData>
  <hyperlinks>
    <hyperlink ref="F15" r:id="rId1" xr:uid="{D7D5B324-3346-41C4-A8A9-85A9A5C3E9AB}"/>
  </hyperlinks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C4EFD-88AA-4FB2-996D-5715375290F6}">
  <dimension ref="B1:G35"/>
  <sheetViews>
    <sheetView showGridLines="0" zoomScale="85" zoomScaleNormal="85" workbookViewId="0"/>
  </sheetViews>
  <sheetFormatPr defaultRowHeight="15" x14ac:dyDescent="0.25"/>
  <cols>
    <col min="1" max="1" width="4" style="1" customWidth="1"/>
    <col min="2" max="2" width="25.28515625" style="1" customWidth="1"/>
    <col min="3" max="3" width="2.5703125" style="1" customWidth="1"/>
    <col min="4" max="4" width="19.140625" style="1" customWidth="1"/>
    <col min="5" max="5" width="23.28515625" style="1" customWidth="1"/>
    <col min="6" max="6" width="13.7109375" style="1" customWidth="1"/>
    <col min="7" max="7" width="21.140625" style="1" customWidth="1"/>
    <col min="8" max="16384" width="9.140625" style="1"/>
  </cols>
  <sheetData>
    <row r="1" spans="2:7" ht="18.75" customHeight="1" x14ac:dyDescent="0.25"/>
    <row r="2" spans="2:7" x14ac:dyDescent="0.25">
      <c r="B2" s="2"/>
    </row>
    <row r="3" spans="2:7" x14ac:dyDescent="0.25">
      <c r="B3" s="2"/>
    </row>
    <row r="4" spans="2:7" x14ac:dyDescent="0.25">
      <c r="B4" s="2"/>
    </row>
    <row r="5" spans="2:7" x14ac:dyDescent="0.25">
      <c r="B5" s="2"/>
    </row>
    <row r="6" spans="2:7" x14ac:dyDescent="0.25">
      <c r="B6" s="2"/>
    </row>
    <row r="7" spans="2:7" x14ac:dyDescent="0.25">
      <c r="B7" s="2"/>
      <c r="D7" s="5" t="s">
        <v>25</v>
      </c>
      <c r="E7" s="1" t="s">
        <v>26</v>
      </c>
      <c r="F7" s="1" t="s">
        <v>27</v>
      </c>
      <c r="G7" s="1" t="s">
        <v>28</v>
      </c>
    </row>
    <row r="8" spans="2:7" x14ac:dyDescent="0.25">
      <c r="B8" s="2"/>
      <c r="D8" s="5" t="s">
        <v>29</v>
      </c>
      <c r="E8" s="1" t="s">
        <v>30</v>
      </c>
      <c r="F8" s="1">
        <v>980</v>
      </c>
      <c r="G8" s="1">
        <v>1176</v>
      </c>
    </row>
    <row r="9" spans="2:7" x14ac:dyDescent="0.25">
      <c r="B9" s="2"/>
      <c r="D9" s="5" t="s">
        <v>31</v>
      </c>
      <c r="E9" s="1" t="s">
        <v>32</v>
      </c>
      <c r="F9" s="1">
        <v>34500</v>
      </c>
      <c r="G9" s="1">
        <v>41400</v>
      </c>
    </row>
    <row r="10" spans="2:7" x14ac:dyDescent="0.25">
      <c r="B10" s="2"/>
      <c r="D10" s="5" t="s">
        <v>33</v>
      </c>
      <c r="E10" s="1" t="s">
        <v>34</v>
      </c>
      <c r="F10" s="1">
        <v>4600</v>
      </c>
      <c r="G10" s="1">
        <v>5520</v>
      </c>
    </row>
    <row r="11" spans="2:7" x14ac:dyDescent="0.25">
      <c r="B11" s="2"/>
      <c r="D11" s="5" t="s">
        <v>35</v>
      </c>
      <c r="E11" s="1" t="s">
        <v>36</v>
      </c>
      <c r="F11" s="1">
        <v>21000</v>
      </c>
      <c r="G11" s="1">
        <v>25200</v>
      </c>
    </row>
    <row r="12" spans="2:7" x14ac:dyDescent="0.25">
      <c r="B12" s="2"/>
      <c r="D12" s="5" t="s">
        <v>37</v>
      </c>
      <c r="E12" s="1" t="s">
        <v>38</v>
      </c>
      <c r="F12" s="1">
        <v>200</v>
      </c>
      <c r="G12" s="1">
        <v>240</v>
      </c>
    </row>
    <row r="13" spans="2:7" x14ac:dyDescent="0.25">
      <c r="B13" s="2"/>
      <c r="D13" s="5" t="s">
        <v>39</v>
      </c>
      <c r="E13" s="1" t="s">
        <v>40</v>
      </c>
      <c r="F13" s="1">
        <v>340</v>
      </c>
      <c r="G13" s="1">
        <v>408</v>
      </c>
    </row>
    <row r="14" spans="2:7" x14ac:dyDescent="0.25">
      <c r="B14" s="2"/>
      <c r="D14" s="5" t="s">
        <v>41</v>
      </c>
      <c r="E14" s="1" t="s">
        <v>42</v>
      </c>
      <c r="F14" s="1">
        <v>52000</v>
      </c>
      <c r="G14" s="1">
        <v>62400</v>
      </c>
    </row>
    <row r="15" spans="2:7" x14ac:dyDescent="0.25">
      <c r="B15" s="2"/>
      <c r="D15" s="5" t="s">
        <v>43</v>
      </c>
      <c r="E15" s="1" t="s">
        <v>44</v>
      </c>
      <c r="F15" s="1">
        <v>799</v>
      </c>
      <c r="G15" s="1">
        <v>958.8</v>
      </c>
    </row>
    <row r="16" spans="2:7" x14ac:dyDescent="0.25">
      <c r="B16" s="2"/>
      <c r="D16" s="5" t="s">
        <v>45</v>
      </c>
      <c r="E16" s="1" t="s">
        <v>46</v>
      </c>
      <c r="F16" s="1">
        <v>670</v>
      </c>
      <c r="G16" s="1">
        <v>804</v>
      </c>
    </row>
    <row r="17" spans="2:7" x14ac:dyDescent="0.25">
      <c r="B17" s="2"/>
      <c r="D17" s="5" t="s">
        <v>47</v>
      </c>
      <c r="E17" s="1" t="s">
        <v>48</v>
      </c>
      <c r="F17" s="1">
        <v>23500</v>
      </c>
      <c r="G17" s="1">
        <v>28200</v>
      </c>
    </row>
    <row r="18" spans="2:7" ht="15" customHeight="1" x14ac:dyDescent="0.35">
      <c r="B18" s="2"/>
      <c r="D18" s="3"/>
      <c r="E18" s="4"/>
      <c r="F18" s="4"/>
      <c r="G18" s="4"/>
    </row>
    <row r="19" spans="2:7" ht="15" customHeight="1" x14ac:dyDescent="0.35">
      <c r="B19" s="2"/>
      <c r="D19" s="3"/>
      <c r="E19" s="4"/>
      <c r="F19" s="4"/>
      <c r="G19" s="4"/>
    </row>
    <row r="20" spans="2:7" ht="12.75" customHeight="1" x14ac:dyDescent="0.25">
      <c r="B20" s="2"/>
    </row>
    <row r="21" spans="2:7" x14ac:dyDescent="0.25">
      <c r="B21" s="2"/>
    </row>
    <row r="22" spans="2:7" x14ac:dyDescent="0.25">
      <c r="B22" s="2"/>
    </row>
    <row r="23" spans="2:7" x14ac:dyDescent="0.25">
      <c r="B23" s="2"/>
    </row>
    <row r="24" spans="2:7" x14ac:dyDescent="0.25">
      <c r="B24" s="2"/>
    </row>
    <row r="25" spans="2:7" x14ac:dyDescent="0.25">
      <c r="B25" s="2"/>
    </row>
    <row r="26" spans="2:7" x14ac:dyDescent="0.25">
      <c r="B26" s="2"/>
    </row>
    <row r="27" spans="2:7" x14ac:dyDescent="0.25">
      <c r="B27" s="2"/>
    </row>
    <row r="28" spans="2:7" x14ac:dyDescent="0.25">
      <c r="B28" s="2"/>
    </row>
    <row r="29" spans="2:7" x14ac:dyDescent="0.25">
      <c r="B29" s="2"/>
    </row>
    <row r="30" spans="2:7" x14ac:dyDescent="0.25">
      <c r="B30" s="2"/>
    </row>
    <row r="31" spans="2:7" x14ac:dyDescent="0.25">
      <c r="B31" s="2"/>
    </row>
    <row r="32" spans="2:7" x14ac:dyDescent="0.25">
      <c r="B32" s="2"/>
    </row>
    <row r="33" spans="2:2" x14ac:dyDescent="0.25">
      <c r="B33" s="2"/>
    </row>
    <row r="34" spans="2:2" x14ac:dyDescent="0.25">
      <c r="B34" s="2"/>
    </row>
    <row r="35" spans="2:2" x14ac:dyDescent="0.25">
      <c r="B35" s="2"/>
    </row>
  </sheetData>
  <phoneticPr fontId="3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ACD79-3640-490D-A677-0ED094257AE4}">
  <dimension ref="B1:H35"/>
  <sheetViews>
    <sheetView showGridLines="0" zoomScale="85" zoomScaleNormal="85" workbookViewId="0"/>
  </sheetViews>
  <sheetFormatPr defaultRowHeight="15" x14ac:dyDescent="0.25"/>
  <cols>
    <col min="1" max="1" width="4" style="1" customWidth="1"/>
    <col min="2" max="2" width="25.28515625" style="1" customWidth="1"/>
    <col min="3" max="3" width="2.42578125" style="1" customWidth="1"/>
    <col min="4" max="4" width="18.5703125" style="1" customWidth="1"/>
    <col min="5" max="5" width="22.7109375" style="1" customWidth="1"/>
    <col min="6" max="6" width="23.85546875" style="1" customWidth="1"/>
    <col min="7" max="7" width="18" style="1" customWidth="1"/>
    <col min="8" max="8" width="28.42578125" style="1" customWidth="1"/>
    <col min="9" max="16384" width="9.140625" style="1"/>
  </cols>
  <sheetData>
    <row r="1" spans="2:8" ht="18.75" customHeight="1" x14ac:dyDescent="0.25"/>
    <row r="2" spans="2:8" x14ac:dyDescent="0.25">
      <c r="B2" s="2"/>
    </row>
    <row r="3" spans="2:8" x14ac:dyDescent="0.25">
      <c r="B3" s="2"/>
    </row>
    <row r="4" spans="2:8" x14ac:dyDescent="0.25">
      <c r="B4" s="2"/>
    </row>
    <row r="5" spans="2:8" x14ac:dyDescent="0.25">
      <c r="B5" s="2"/>
    </row>
    <row r="6" spans="2:8" x14ac:dyDescent="0.25">
      <c r="B6" s="2"/>
    </row>
    <row r="7" spans="2:8" x14ac:dyDescent="0.25">
      <c r="B7" s="2"/>
      <c r="D7" s="1" t="s">
        <v>25</v>
      </c>
      <c r="E7" s="1" t="s">
        <v>26</v>
      </c>
      <c r="F7" s="1" t="s">
        <v>49</v>
      </c>
      <c r="G7" s="1" t="s">
        <v>50</v>
      </c>
      <c r="H7" s="1" t="s">
        <v>3</v>
      </c>
    </row>
    <row r="8" spans="2:8" x14ac:dyDescent="0.25">
      <c r="B8" s="2"/>
      <c r="D8" s="1" t="s">
        <v>29</v>
      </c>
      <c r="E8" s="1" t="s">
        <v>30</v>
      </c>
      <c r="F8" s="1" t="s">
        <v>51</v>
      </c>
      <c r="G8" s="1" t="s">
        <v>52</v>
      </c>
      <c r="H8" s="1" t="s">
        <v>12</v>
      </c>
    </row>
    <row r="9" spans="2:8" x14ac:dyDescent="0.25">
      <c r="B9" s="2"/>
      <c r="D9" s="1" t="s">
        <v>31</v>
      </c>
      <c r="E9" s="1" t="s">
        <v>32</v>
      </c>
      <c r="F9" s="1" t="s">
        <v>51</v>
      </c>
      <c r="G9" s="1" t="s">
        <v>52</v>
      </c>
      <c r="H9" s="1" t="s">
        <v>53</v>
      </c>
    </row>
    <row r="10" spans="2:8" x14ac:dyDescent="0.25">
      <c r="B10" s="2"/>
      <c r="D10" s="1" t="s">
        <v>33</v>
      </c>
      <c r="E10" s="1" t="s">
        <v>34</v>
      </c>
      <c r="F10" s="1" t="s">
        <v>51</v>
      </c>
      <c r="G10" s="1" t="s">
        <v>52</v>
      </c>
      <c r="H10" s="1" t="s">
        <v>54</v>
      </c>
    </row>
    <row r="11" spans="2:8" x14ac:dyDescent="0.25">
      <c r="B11" s="2"/>
      <c r="D11" s="1" t="s">
        <v>35</v>
      </c>
      <c r="E11" s="1" t="s">
        <v>36</v>
      </c>
      <c r="F11" s="1" t="s">
        <v>55</v>
      </c>
      <c r="G11" s="1" t="s">
        <v>56</v>
      </c>
      <c r="H11" s="1" t="s">
        <v>21</v>
      </c>
    </row>
    <row r="12" spans="2:8" x14ac:dyDescent="0.25">
      <c r="B12" s="2"/>
      <c r="D12" s="1" t="s">
        <v>37</v>
      </c>
      <c r="E12" s="1" t="s">
        <v>38</v>
      </c>
      <c r="F12" s="1" t="s">
        <v>55</v>
      </c>
      <c r="G12" s="1" t="s">
        <v>56</v>
      </c>
      <c r="H12" s="1" t="s">
        <v>57</v>
      </c>
    </row>
    <row r="13" spans="2:8" x14ac:dyDescent="0.25">
      <c r="B13" s="2"/>
      <c r="D13" s="1" t="s">
        <v>39</v>
      </c>
      <c r="E13" s="1" t="s">
        <v>40</v>
      </c>
      <c r="F13" s="1" t="s">
        <v>55</v>
      </c>
      <c r="G13" s="1" t="s">
        <v>56</v>
      </c>
      <c r="H13" s="1" t="s">
        <v>58</v>
      </c>
    </row>
    <row r="14" spans="2:8" x14ac:dyDescent="0.25">
      <c r="B14" s="2"/>
      <c r="D14" s="1" t="s">
        <v>41</v>
      </c>
      <c r="E14" s="1" t="s">
        <v>42</v>
      </c>
      <c r="F14" s="1" t="s">
        <v>55</v>
      </c>
      <c r="G14" s="1" t="s">
        <v>56</v>
      </c>
      <c r="H14" s="1" t="s">
        <v>59</v>
      </c>
    </row>
    <row r="15" spans="2:8" x14ac:dyDescent="0.25">
      <c r="B15" s="2"/>
      <c r="D15" s="1" t="s">
        <v>43</v>
      </c>
      <c r="E15" s="1" t="s">
        <v>44</v>
      </c>
      <c r="F15" s="1" t="s">
        <v>60</v>
      </c>
      <c r="G15" s="1" t="s">
        <v>61</v>
      </c>
      <c r="H15" s="1" t="s">
        <v>62</v>
      </c>
    </row>
    <row r="16" spans="2:8" x14ac:dyDescent="0.25">
      <c r="B16" s="2"/>
      <c r="D16" s="1" t="s">
        <v>45</v>
      </c>
      <c r="E16" s="1" t="s">
        <v>46</v>
      </c>
      <c r="F16" s="1" t="s">
        <v>60</v>
      </c>
      <c r="G16" s="1" t="s">
        <v>61</v>
      </c>
      <c r="H16" s="1" t="s">
        <v>63</v>
      </c>
    </row>
    <row r="17" spans="2:8" x14ac:dyDescent="0.25">
      <c r="B17" s="2"/>
      <c r="D17" s="1" t="s">
        <v>47</v>
      </c>
      <c r="E17" s="1" t="s">
        <v>48</v>
      </c>
      <c r="F17" s="1" t="s">
        <v>60</v>
      </c>
      <c r="G17" s="1" t="s">
        <v>61</v>
      </c>
      <c r="H17" s="1" t="s">
        <v>64</v>
      </c>
    </row>
    <row r="18" spans="2:8" x14ac:dyDescent="0.25">
      <c r="B18" s="2"/>
    </row>
    <row r="19" spans="2:8" x14ac:dyDescent="0.25">
      <c r="B19" s="2"/>
    </row>
    <row r="20" spans="2:8" x14ac:dyDescent="0.25">
      <c r="B20" s="2"/>
    </row>
    <row r="21" spans="2:8" x14ac:dyDescent="0.25">
      <c r="B21" s="2"/>
    </row>
    <row r="22" spans="2:8" x14ac:dyDescent="0.25">
      <c r="B22" s="2"/>
    </row>
    <row r="23" spans="2:8" x14ac:dyDescent="0.25">
      <c r="B23" s="2"/>
    </row>
    <row r="24" spans="2:8" x14ac:dyDescent="0.25">
      <c r="B24" s="2"/>
    </row>
    <row r="25" spans="2:8" x14ac:dyDescent="0.25">
      <c r="B25" s="2"/>
    </row>
    <row r="26" spans="2:8" x14ac:dyDescent="0.25">
      <c r="B26" s="2"/>
    </row>
    <row r="27" spans="2:8" x14ac:dyDescent="0.25">
      <c r="B27" s="2"/>
    </row>
    <row r="28" spans="2:8" x14ac:dyDescent="0.25">
      <c r="B28" s="2"/>
    </row>
    <row r="29" spans="2:8" x14ac:dyDescent="0.25">
      <c r="B29" s="2"/>
    </row>
    <row r="30" spans="2:8" x14ac:dyDescent="0.25">
      <c r="B30" s="2"/>
    </row>
    <row r="31" spans="2:8" x14ac:dyDescent="0.25">
      <c r="B31" s="2"/>
    </row>
    <row r="32" spans="2:8" x14ac:dyDescent="0.25">
      <c r="B32" s="2"/>
    </row>
    <row r="33" spans="2:2" x14ac:dyDescent="0.25">
      <c r="B33" s="2"/>
    </row>
    <row r="34" spans="2:2" x14ac:dyDescent="0.25">
      <c r="B34" s="2"/>
    </row>
    <row r="35" spans="2:2" x14ac:dyDescent="0.25">
      <c r="B35" s="2"/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DDE94-15F3-448B-94C8-632CA0F6BC8F}">
  <dimension ref="B1:E35"/>
  <sheetViews>
    <sheetView showGridLines="0" zoomScale="85" zoomScaleNormal="85" workbookViewId="0">
      <selection activeCell="E11" sqref="E11"/>
    </sheetView>
  </sheetViews>
  <sheetFormatPr defaultRowHeight="15" x14ac:dyDescent="0.25"/>
  <cols>
    <col min="1" max="1" width="4" style="1" customWidth="1"/>
    <col min="2" max="2" width="25.28515625" style="1" customWidth="1"/>
    <col min="3" max="4" width="9.140625" style="1"/>
    <col min="5" max="5" width="13.7109375" style="1" customWidth="1"/>
    <col min="6" max="16384" width="9.140625" style="1"/>
  </cols>
  <sheetData>
    <row r="1" spans="2:5" ht="18.75" customHeight="1" x14ac:dyDescent="0.25"/>
    <row r="2" spans="2:5" x14ac:dyDescent="0.25">
      <c r="B2" s="2"/>
    </row>
    <row r="3" spans="2:5" x14ac:dyDescent="0.25">
      <c r="B3" s="2"/>
    </row>
    <row r="4" spans="2:5" x14ac:dyDescent="0.25">
      <c r="B4" s="2"/>
    </row>
    <row r="5" spans="2:5" x14ac:dyDescent="0.25">
      <c r="B5" s="2"/>
    </row>
    <row r="6" spans="2:5" x14ac:dyDescent="0.25">
      <c r="B6" s="2"/>
    </row>
    <row r="7" spans="2:5" x14ac:dyDescent="0.25">
      <c r="B7" s="2"/>
    </row>
    <row r="8" spans="2:5" x14ac:dyDescent="0.25">
      <c r="B8" s="2"/>
    </row>
    <row r="9" spans="2:5" x14ac:dyDescent="0.25">
      <c r="B9" s="2"/>
    </row>
    <row r="10" spans="2:5" x14ac:dyDescent="0.25">
      <c r="B10" s="2"/>
    </row>
    <row r="11" spans="2:5" x14ac:dyDescent="0.25">
      <c r="B11" s="2"/>
      <c r="E11" s="6" t="s">
        <v>65</v>
      </c>
    </row>
    <row r="12" spans="2:5" x14ac:dyDescent="0.25">
      <c r="B12" s="2"/>
    </row>
    <row r="13" spans="2:5" x14ac:dyDescent="0.25">
      <c r="B13" s="2"/>
      <c r="E13" s="6" t="s">
        <v>66</v>
      </c>
    </row>
    <row r="14" spans="2:5" x14ac:dyDescent="0.25">
      <c r="B14" s="2"/>
    </row>
    <row r="15" spans="2:5" x14ac:dyDescent="0.25">
      <c r="B15" s="2"/>
    </row>
    <row r="16" spans="2:5" x14ac:dyDescent="0.25">
      <c r="B16" s="2"/>
    </row>
    <row r="17" spans="2:2" x14ac:dyDescent="0.25">
      <c r="B17" s="2"/>
    </row>
    <row r="18" spans="2:2" x14ac:dyDescent="0.25">
      <c r="B18" s="2"/>
    </row>
    <row r="19" spans="2:2" x14ac:dyDescent="0.25">
      <c r="B19" s="2"/>
    </row>
    <row r="20" spans="2:2" x14ac:dyDescent="0.25">
      <c r="B20" s="2"/>
    </row>
    <row r="21" spans="2:2" x14ac:dyDescent="0.25">
      <c r="B21" s="2"/>
    </row>
    <row r="22" spans="2:2" x14ac:dyDescent="0.25">
      <c r="B22" s="2"/>
    </row>
    <row r="23" spans="2:2" x14ac:dyDescent="0.25">
      <c r="B23" s="2"/>
    </row>
    <row r="24" spans="2:2" x14ac:dyDescent="0.25">
      <c r="B24" s="2"/>
    </row>
    <row r="25" spans="2:2" x14ac:dyDescent="0.25">
      <c r="B25" s="2"/>
    </row>
    <row r="26" spans="2:2" x14ac:dyDescent="0.25">
      <c r="B26" s="2"/>
    </row>
    <row r="27" spans="2:2" x14ac:dyDescent="0.25">
      <c r="B27" s="2"/>
    </row>
    <row r="28" spans="2:2" x14ac:dyDescent="0.25">
      <c r="B28" s="2"/>
    </row>
    <row r="29" spans="2:2" x14ac:dyDescent="0.25">
      <c r="B29" s="2"/>
    </row>
    <row r="30" spans="2:2" x14ac:dyDescent="0.25">
      <c r="B30" s="2"/>
    </row>
    <row r="31" spans="2:2" x14ac:dyDescent="0.25">
      <c r="B31" s="2"/>
    </row>
    <row r="32" spans="2:2" x14ac:dyDescent="0.25">
      <c r="B32" s="2"/>
    </row>
    <row r="33" spans="2:2" x14ac:dyDescent="0.25">
      <c r="B33" s="2"/>
    </row>
    <row r="34" spans="2:2" x14ac:dyDescent="0.25">
      <c r="B34" s="2"/>
    </row>
    <row r="35" spans="2:2" x14ac:dyDescent="0.25">
      <c r="B35" s="2"/>
    </row>
  </sheetData>
  <hyperlinks>
    <hyperlink ref="E11" location="Purchase!A1" display="Purchase Entry" xr:uid="{13A92FCA-D2BA-439A-AEF9-A5D282EF7065}"/>
    <hyperlink ref="E13" location="Sales!A1" display="Sale Entry" xr:uid="{F10C3CF2-062C-4A1F-A9EB-08B0FF42F18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25B26-E6A6-4F17-84F7-48C273128EDF}">
  <dimension ref="B1:J35"/>
  <sheetViews>
    <sheetView showGridLines="0" zoomScale="85" zoomScaleNormal="85" workbookViewId="0">
      <pane ySplit="1" topLeftCell="A2" activePane="bottomLeft" state="frozen"/>
      <selection activeCell="Y13" sqref="Y13"/>
      <selection pane="bottomLeft" activeCell="H17" sqref="H17"/>
    </sheetView>
  </sheetViews>
  <sheetFormatPr defaultRowHeight="15" x14ac:dyDescent="0.25"/>
  <cols>
    <col min="1" max="1" width="4" style="1" customWidth="1"/>
    <col min="2" max="2" width="25.28515625" style="1" customWidth="1"/>
    <col min="3" max="3" width="2.42578125" style="1" customWidth="1"/>
    <col min="4" max="4" width="12.42578125" style="1" customWidth="1"/>
    <col min="5" max="5" width="15.85546875" style="1" customWidth="1"/>
    <col min="6" max="6" width="10" style="1" customWidth="1"/>
    <col min="7" max="7" width="10.7109375" style="1" customWidth="1"/>
    <col min="8" max="8" width="10" style="1" customWidth="1"/>
    <col min="9" max="9" width="9.140625" style="1"/>
    <col min="10" max="10" width="10.140625" style="1" customWidth="1"/>
    <col min="11" max="16384" width="9.140625" style="1"/>
  </cols>
  <sheetData>
    <row r="1" spans="2:10" ht="18.75" customHeight="1" x14ac:dyDescent="0.25"/>
    <row r="2" spans="2:10" x14ac:dyDescent="0.25">
      <c r="B2" s="2"/>
    </row>
    <row r="3" spans="2:10" x14ac:dyDescent="0.25">
      <c r="B3" s="2"/>
    </row>
    <row r="4" spans="2:10" x14ac:dyDescent="0.25">
      <c r="B4" s="2"/>
    </row>
    <row r="5" spans="2:10" x14ac:dyDescent="0.25">
      <c r="B5" s="2"/>
    </row>
    <row r="6" spans="2:10" x14ac:dyDescent="0.25">
      <c r="B6" s="2"/>
    </row>
    <row r="7" spans="2:10" x14ac:dyDescent="0.25">
      <c r="B7" s="2"/>
      <c r="D7" s="1" t="s">
        <v>25</v>
      </c>
      <c r="E7" s="1" t="s">
        <v>26</v>
      </c>
      <c r="F7" s="1" t="s">
        <v>67</v>
      </c>
      <c r="G7" s="1" t="s">
        <v>68</v>
      </c>
      <c r="H7" s="1" t="s">
        <v>69</v>
      </c>
      <c r="I7" s="1" t="s">
        <v>27</v>
      </c>
      <c r="J7" s="1" t="s">
        <v>70</v>
      </c>
    </row>
    <row r="8" spans="2:10" x14ac:dyDescent="0.25">
      <c r="B8" s="2"/>
      <c r="D8" s="1" t="s">
        <v>31</v>
      </c>
      <c r="E8" s="1" t="str">
        <f>IFERROR(VLOOKUP(Purchasedata[[#This Row],[HSN Code]],ProductsData[#All],2,0),"")</f>
        <v>Laptop HP xyz i5</v>
      </c>
      <c r="F8" s="1" t="str">
        <f>IFERROR(VLOOKUP(Purchasedata[[#This Row],[HSN Code]],Table26[#All],3,0),"")</f>
        <v>Tech99</v>
      </c>
      <c r="H8" s="1">
        <v>50</v>
      </c>
      <c r="I8" s="1">
        <f>IFERROR(VLOOKUP(Purchasedata[[#This Row],[HSN Code]],ProductsData[#All],3,0),"")</f>
        <v>34500</v>
      </c>
      <c r="J8" s="1">
        <f>IFERROR(Purchasedata[[#This Row],[Units]]*Purchasedata[[#This Row],[Cost]],"")</f>
        <v>1725000</v>
      </c>
    </row>
    <row r="9" spans="2:10" x14ac:dyDescent="0.25">
      <c r="B9" s="2"/>
      <c r="D9" s="1" t="s">
        <v>35</v>
      </c>
      <c r="E9" s="1" t="str">
        <f>IFERROR(VLOOKUP(Purchasedata[[#This Row],[HSN Code]],ProductsData[#All],2,0),"")</f>
        <v>Desktop</v>
      </c>
      <c r="F9" s="1" t="str">
        <f>IFERROR(VLOOKUP(Purchasedata[[#This Row],[HSN Code]],Table26[#All],3,0),"")</f>
        <v>GG Traders</v>
      </c>
      <c r="H9" s="1">
        <v>34</v>
      </c>
      <c r="I9" s="1">
        <f>IFERROR(VLOOKUP(Purchasedata[[#This Row],[HSN Code]],ProductsData[#All],3,0),"")</f>
        <v>21000</v>
      </c>
      <c r="J9" s="1">
        <f>IFERROR(Purchasedata[[#This Row],[Units]]*Purchasedata[[#This Row],[Cost]],"")</f>
        <v>714000</v>
      </c>
    </row>
    <row r="10" spans="2:10" x14ac:dyDescent="0.25">
      <c r="B10" s="2"/>
      <c r="D10" s="1" t="s">
        <v>33</v>
      </c>
      <c r="E10" s="1" t="str">
        <f>IFERROR(VLOOKUP(Purchasedata[[#This Row],[HSN Code]],ProductsData[#All],2,0),"")</f>
        <v>Wireless Printer</v>
      </c>
      <c r="F10" s="1" t="str">
        <f>IFERROR(VLOOKUP(Purchasedata[[#This Row],[HSN Code]],Table26[#All],3,0),"")</f>
        <v>Tech99</v>
      </c>
      <c r="H10" s="1">
        <v>25</v>
      </c>
      <c r="I10" s="1">
        <f>IFERROR(VLOOKUP(Purchasedata[[#This Row],[HSN Code]],ProductsData[#All],3,0),"")</f>
        <v>4600</v>
      </c>
      <c r="J10" s="1">
        <f>IFERROR(Purchasedata[[#This Row],[Units]]*Purchasedata[[#This Row],[Cost]],"")</f>
        <v>115000</v>
      </c>
    </row>
    <row r="11" spans="2:10" x14ac:dyDescent="0.25">
      <c r="B11" s="2"/>
      <c r="D11" s="1" t="s">
        <v>39</v>
      </c>
      <c r="E11" s="1" t="str">
        <f>IFERROR(VLOOKUP(Purchasedata[[#This Row],[HSN Code]],ProductsData[#All],2,0),"")</f>
        <v>Rgb Keyboard</v>
      </c>
      <c r="F11" s="1" t="str">
        <f>IFERROR(VLOOKUP(Purchasedata[[#This Row],[HSN Code]],Table26[#All],3,0),"")</f>
        <v>GG Traders</v>
      </c>
      <c r="H11" s="1">
        <v>7</v>
      </c>
      <c r="I11" s="1">
        <f>IFERROR(VLOOKUP(Purchasedata[[#This Row],[HSN Code]],ProductsData[#All],3,0),"")</f>
        <v>340</v>
      </c>
      <c r="J11" s="1">
        <f>IFERROR(Purchasedata[[#This Row],[Units]]*Purchasedata[[#This Row],[Cost]],"")</f>
        <v>2380</v>
      </c>
    </row>
    <row r="12" spans="2:10" x14ac:dyDescent="0.25">
      <c r="B12" s="2"/>
      <c r="D12" s="1" t="s">
        <v>43</v>
      </c>
      <c r="E12" s="1" t="str">
        <f>IFERROR(VLOOKUP(Purchasedata[[#This Row],[HSN Code]],ProductsData[#All],2,0),"")</f>
        <v>Headphones</v>
      </c>
      <c r="F12" s="1" t="str">
        <f>IFERROR(VLOOKUP(Purchasedata[[#This Row],[HSN Code]],Table26[#All],3,0),"")</f>
        <v>Compac</v>
      </c>
      <c r="G12" s="7">
        <v>46023</v>
      </c>
      <c r="H12" s="1">
        <v>5</v>
      </c>
      <c r="I12" s="1">
        <f>IFERROR(VLOOKUP(Purchasedata[[#This Row],[HSN Code]],ProductsData[#All],3,0),"")</f>
        <v>799</v>
      </c>
      <c r="J12" s="1">
        <f>IFERROR(Purchasedata[[#This Row],[Units]]*Purchasedata[[#This Row],[Cost]],"")</f>
        <v>3995</v>
      </c>
    </row>
    <row r="13" spans="2:10" x14ac:dyDescent="0.25">
      <c r="B13" s="2"/>
      <c r="D13" s="1" t="s">
        <v>37</v>
      </c>
      <c r="E13" s="1" t="str">
        <f>IFERROR(VLOOKUP(Purchasedata[[#This Row],[HSN Code]],ProductsData[#All],2,0),"")</f>
        <v>Mouse</v>
      </c>
      <c r="F13" s="1" t="str">
        <f>IFERROR(VLOOKUP(Purchasedata[[#This Row],[HSN Code]],Table26[#All],3,0),"")</f>
        <v>GG Traders</v>
      </c>
      <c r="H13" s="1">
        <v>300</v>
      </c>
      <c r="I13" s="1">
        <f>IFERROR(VLOOKUP(Purchasedata[[#This Row],[HSN Code]],ProductsData[#All],3,0),"")</f>
        <v>200</v>
      </c>
      <c r="J13" s="1">
        <f>IFERROR(Purchasedata[[#This Row],[Units]]*Purchasedata[[#This Row],[Cost]],"")</f>
        <v>60000</v>
      </c>
    </row>
    <row r="14" spans="2:10" x14ac:dyDescent="0.25">
      <c r="B14" s="2"/>
      <c r="D14" s="1" t="s">
        <v>45</v>
      </c>
      <c r="E14" s="1" t="str">
        <f>IFERROR(VLOOKUP(Purchasedata[[#This Row],[HSN Code]],ProductsData[#All],2,0),"")</f>
        <v>Speakers</v>
      </c>
      <c r="F14" s="1" t="str">
        <f>IFERROR(VLOOKUP(Purchasedata[[#This Row],[HSN Code]],Table26[#All],3,0),"")</f>
        <v>Compac</v>
      </c>
      <c r="G14" s="7">
        <v>46024</v>
      </c>
      <c r="H14" s="1">
        <v>100</v>
      </c>
      <c r="I14" s="1">
        <f>IFERROR(VLOOKUP(Purchasedata[[#This Row],[HSN Code]],ProductsData[#All],3,0),"")</f>
        <v>670</v>
      </c>
      <c r="J14" s="1">
        <f>IFERROR(Purchasedata[[#This Row],[Units]]*Purchasedata[[#This Row],[Cost]],"")</f>
        <v>67000</v>
      </c>
    </row>
    <row r="15" spans="2:10" x14ac:dyDescent="0.25">
      <c r="B15" s="2"/>
      <c r="D15" s="1" t="s">
        <v>29</v>
      </c>
      <c r="E15" s="1" t="str">
        <f>IFERROR(VLOOKUP(Purchasedata[[#This Row],[HSN Code]],ProductsData[#All],2,0),"")</f>
        <v>Smart Watch</v>
      </c>
      <c r="F15" s="1" t="str">
        <f>IFERROR(VLOOKUP(Purchasedata[[#This Row],[HSN Code]],Table26[#All],3,0),"")</f>
        <v>Tech99</v>
      </c>
      <c r="G15" s="7">
        <v>46024</v>
      </c>
      <c r="H15" s="1">
        <v>200</v>
      </c>
      <c r="I15" s="1">
        <f>IFERROR(VLOOKUP(Purchasedata[[#This Row],[HSN Code]],ProductsData[#All],3,0),"")</f>
        <v>980</v>
      </c>
      <c r="J15" s="1">
        <f>IFERROR(Purchasedata[[#This Row],[Units]]*Purchasedata[[#This Row],[Cost]],"")</f>
        <v>196000</v>
      </c>
    </row>
    <row r="16" spans="2:10" x14ac:dyDescent="0.25">
      <c r="B16" s="2"/>
      <c r="D16" s="1" t="s">
        <v>47</v>
      </c>
      <c r="E16" s="1" t="str">
        <f>IFERROR(VLOOKUP(Purchasedata[[#This Row],[HSN Code]],ProductsData[#All],2,0),"")</f>
        <v>Tablets</v>
      </c>
      <c r="F16" s="1" t="str">
        <f>IFERROR(VLOOKUP(Purchasedata[[#This Row],[HSN Code]],Table26[#All],3,0),"")</f>
        <v>Compac</v>
      </c>
      <c r="G16" s="7">
        <v>46025</v>
      </c>
      <c r="H16" s="1">
        <v>100</v>
      </c>
      <c r="I16" s="1">
        <f>IFERROR(VLOOKUP(Purchasedata[[#This Row],[HSN Code]],ProductsData[#All],3,0),"")</f>
        <v>23500</v>
      </c>
      <c r="J16" s="1">
        <f>IFERROR(Purchasedata[[#This Row],[Units]]*Purchasedata[[#This Row],[Cost]],"")</f>
        <v>2350000</v>
      </c>
    </row>
    <row r="17" spans="2:10" x14ac:dyDescent="0.25">
      <c r="B17" s="2"/>
      <c r="E17" s="1" t="str">
        <f>IFERROR(VLOOKUP(Purchasedata[[#This Row],[HSN Code]],ProductsData[#All],2,0),"")</f>
        <v/>
      </c>
      <c r="F17" s="1" t="str">
        <f>IFERROR(VLOOKUP(Purchasedata[[#This Row],[HSN Code]],Table26[#All],3,0),"")</f>
        <v/>
      </c>
      <c r="I17" s="1" t="str">
        <f>IFERROR(VLOOKUP(Purchasedata[[#This Row],[HSN Code]],ProductsData[#All],3,0),"")</f>
        <v/>
      </c>
      <c r="J17" s="1" t="str">
        <f>IFERROR(Purchasedata[[#This Row],[Units]]*Purchasedata[[#This Row],[Cost]],"")</f>
        <v/>
      </c>
    </row>
    <row r="18" spans="2:10" x14ac:dyDescent="0.25">
      <c r="B18" s="2"/>
      <c r="E18" s="1" t="str">
        <f>IFERROR(VLOOKUP(Purchasedata[[#This Row],[HSN Code]],ProductsData[#All],2,0),"")</f>
        <v/>
      </c>
      <c r="F18" s="1" t="str">
        <f>IFERROR(VLOOKUP(Purchasedata[[#This Row],[HSN Code]],Table26[#All],3,0),"")</f>
        <v/>
      </c>
      <c r="I18" s="1" t="str">
        <f>IFERROR(VLOOKUP(Purchasedata[[#This Row],[HSN Code]],ProductsData[#All],3,0),"")</f>
        <v/>
      </c>
      <c r="J18" s="1" t="str">
        <f>IFERROR(Purchasedata[[#This Row],[Units]]*Purchasedata[[#This Row],[Cost]],"")</f>
        <v/>
      </c>
    </row>
    <row r="19" spans="2:10" x14ac:dyDescent="0.25">
      <c r="B19" s="2"/>
      <c r="E19" s="1" t="str">
        <f>IFERROR(VLOOKUP(Purchasedata[[#This Row],[HSN Code]],ProductsData[#All],2,0),"")</f>
        <v/>
      </c>
      <c r="F19" s="1" t="str">
        <f>IFERROR(VLOOKUP(Purchasedata[[#This Row],[HSN Code]],Table26[#All],3,0),"")</f>
        <v/>
      </c>
      <c r="I19" s="1" t="str">
        <f>IFERROR(VLOOKUP(Purchasedata[[#This Row],[HSN Code]],ProductsData[#All],3,0),"")</f>
        <v/>
      </c>
      <c r="J19" s="1" t="str">
        <f>IFERROR(Purchasedata[[#This Row],[Units]]*Purchasedata[[#This Row],[Cost]],"")</f>
        <v/>
      </c>
    </row>
    <row r="20" spans="2:10" x14ac:dyDescent="0.25">
      <c r="B20" s="2"/>
      <c r="E20" s="1" t="str">
        <f>IFERROR(VLOOKUP(Purchasedata[[#This Row],[HSN Code]],ProductsData[#All],2,0),"")</f>
        <v/>
      </c>
      <c r="F20" s="1" t="str">
        <f>IFERROR(VLOOKUP(Purchasedata[[#This Row],[HSN Code]],Table26[#All],3,0),"")</f>
        <v/>
      </c>
      <c r="I20" s="1" t="str">
        <f>IFERROR(VLOOKUP(Purchasedata[[#This Row],[HSN Code]],ProductsData[#All],3,0),"")</f>
        <v/>
      </c>
      <c r="J20" s="1" t="str">
        <f>IFERROR(Purchasedata[[#This Row],[Units]]*Purchasedata[[#This Row],[Cost]],"")</f>
        <v/>
      </c>
    </row>
    <row r="21" spans="2:10" x14ac:dyDescent="0.25">
      <c r="B21" s="2"/>
    </row>
    <row r="22" spans="2:10" x14ac:dyDescent="0.25">
      <c r="B22" s="2"/>
    </row>
    <row r="23" spans="2:10" x14ac:dyDescent="0.25">
      <c r="B23" s="2"/>
    </row>
    <row r="24" spans="2:10" x14ac:dyDescent="0.25">
      <c r="B24" s="2"/>
    </row>
    <row r="25" spans="2:10" x14ac:dyDescent="0.25">
      <c r="B25" s="2"/>
    </row>
    <row r="26" spans="2:10" x14ac:dyDescent="0.25">
      <c r="B26" s="2"/>
    </row>
    <row r="27" spans="2:10" x14ac:dyDescent="0.25">
      <c r="B27" s="2"/>
    </row>
    <row r="28" spans="2:10" x14ac:dyDescent="0.25">
      <c r="B28" s="2"/>
    </row>
    <row r="29" spans="2:10" x14ac:dyDescent="0.25">
      <c r="B29" s="2"/>
    </row>
    <row r="30" spans="2:10" x14ac:dyDescent="0.25">
      <c r="B30" s="2"/>
    </row>
    <row r="31" spans="2:10" x14ac:dyDescent="0.25">
      <c r="B31" s="2"/>
    </row>
    <row r="32" spans="2:10" x14ac:dyDescent="0.25">
      <c r="B32" s="2"/>
    </row>
    <row r="33" spans="2:2" x14ac:dyDescent="0.25">
      <c r="B33" s="2"/>
    </row>
    <row r="34" spans="2:2" x14ac:dyDescent="0.25">
      <c r="B34" s="2"/>
    </row>
    <row r="35" spans="2:2" x14ac:dyDescent="0.25">
      <c r="B35" s="2"/>
    </row>
  </sheetData>
  <dataValidations count="1">
    <dataValidation type="list" allowBlank="1" showInputMessage="1" showErrorMessage="1" sqref="D8:D20" xr:uid="{CBCF7218-84BB-4927-8C6B-772BF426691F}">
      <formula1>hsncode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485E2-4438-49EB-AA02-EB6318F94BE7}">
  <dimension ref="B1:L35"/>
  <sheetViews>
    <sheetView showGridLines="0" zoomScale="85" zoomScaleNormal="85" workbookViewId="0">
      <selection activeCell="J14" sqref="J14"/>
    </sheetView>
  </sheetViews>
  <sheetFormatPr defaultRowHeight="15" x14ac:dyDescent="0.25"/>
  <cols>
    <col min="1" max="1" width="4" style="1" customWidth="1"/>
    <col min="2" max="2" width="25.28515625" style="1" customWidth="1"/>
    <col min="3" max="3" width="2.28515625" style="1" customWidth="1"/>
    <col min="4" max="4" width="13.5703125" style="1" bestFit="1" customWidth="1"/>
    <col min="5" max="5" width="17.85546875" style="1" bestFit="1" customWidth="1"/>
    <col min="6" max="6" width="16.42578125" style="1" bestFit="1" customWidth="1"/>
    <col min="7" max="7" width="21.140625" style="1" bestFit="1" customWidth="1"/>
    <col min="8" max="8" width="12.42578125" style="1" bestFit="1" customWidth="1"/>
    <col min="9" max="9" width="18.85546875" style="1" bestFit="1" customWidth="1"/>
    <col min="10" max="10" width="10.7109375" style="1" bestFit="1" customWidth="1"/>
    <col min="11" max="11" width="11" style="1" bestFit="1" customWidth="1"/>
    <col min="12" max="12" width="13.5703125" style="1" bestFit="1" customWidth="1"/>
    <col min="13" max="16384" width="9.140625" style="1"/>
  </cols>
  <sheetData>
    <row r="1" spans="2:12" ht="18.75" customHeight="1" x14ac:dyDescent="0.25"/>
    <row r="2" spans="2:12" x14ac:dyDescent="0.25">
      <c r="B2" s="2"/>
    </row>
    <row r="3" spans="2:12" x14ac:dyDescent="0.25">
      <c r="B3" s="2"/>
    </row>
    <row r="4" spans="2:12" x14ac:dyDescent="0.25">
      <c r="B4" s="2"/>
    </row>
    <row r="5" spans="2:12" x14ac:dyDescent="0.25">
      <c r="B5" s="2"/>
    </row>
    <row r="6" spans="2:12" x14ac:dyDescent="0.25">
      <c r="B6" s="2"/>
      <c r="D6" s="1" t="s">
        <v>71</v>
      </c>
      <c r="E6" s="1" t="s">
        <v>72</v>
      </c>
      <c r="F6" s="1" t="s">
        <v>25</v>
      </c>
      <c r="G6" s="1" t="s">
        <v>26</v>
      </c>
      <c r="H6" s="1" t="s">
        <v>68</v>
      </c>
      <c r="I6" s="1" t="s">
        <v>73</v>
      </c>
      <c r="J6" s="1" t="s">
        <v>69</v>
      </c>
      <c r="K6" s="1" t="s">
        <v>74</v>
      </c>
      <c r="L6" s="1" t="s">
        <v>70</v>
      </c>
    </row>
    <row r="7" spans="2:12" x14ac:dyDescent="0.25">
      <c r="B7" s="2"/>
      <c r="D7" s="5">
        <v>100</v>
      </c>
      <c r="E7" s="1" t="str">
        <f>IFERROR(VLOOKUP(Table3[[#This Row],[Cust_Id]],customersdata[#All],2,0),"")</f>
        <v>Ram sales</v>
      </c>
      <c r="F7" s="1" t="s">
        <v>29</v>
      </c>
      <c r="G7" s="1" t="str">
        <f>IFERROR(VLOOKUP(Table3[[#This Row],[HSN Code]],ProductsData[#All],2,0),"")</f>
        <v>Smart Watch</v>
      </c>
      <c r="H7" s="7">
        <v>46023</v>
      </c>
      <c r="I7" s="1">
        <f>VLOOKUP(Table3[[#This Row],[HSN Code]],Table5[#All],6,0)</f>
        <v>150</v>
      </c>
      <c r="J7" s="1">
        <v>20</v>
      </c>
      <c r="K7" s="1">
        <f>IFERROR(VLOOKUP(Table3[[#This Row],[HSN Code]],ProductsData[#All],3,0),"")</f>
        <v>980</v>
      </c>
      <c r="L7" s="1">
        <f>IFERROR(Table3[[#This Row],[Price]]*Table3[[#This Row],[Units]],"")</f>
        <v>19600</v>
      </c>
    </row>
    <row r="8" spans="2:12" x14ac:dyDescent="0.25">
      <c r="B8" s="2"/>
      <c r="D8" s="5">
        <v>103</v>
      </c>
      <c r="E8" s="1" t="str">
        <f>IFERROR(VLOOKUP(Table3[[#This Row],[Cust_Id]],customersdata[#All],2,0),"")</f>
        <v>99store</v>
      </c>
      <c r="F8" s="1" t="s">
        <v>37</v>
      </c>
      <c r="G8" s="1" t="str">
        <f>IFERROR(VLOOKUP(Table3[[#This Row],[HSN Code]],ProductsData[#All],2,0),"")</f>
        <v>Mouse</v>
      </c>
      <c r="H8" s="7">
        <v>46055</v>
      </c>
      <c r="I8" s="1">
        <f>VLOOKUP(Table3[[#This Row],[HSN Code]],Table5[#All],6,0)</f>
        <v>254</v>
      </c>
      <c r="J8" s="1">
        <v>36</v>
      </c>
      <c r="K8" s="1">
        <f>IFERROR(VLOOKUP(Table3[[#This Row],[HSN Code]],ProductsData[#All],3,0),"")</f>
        <v>200</v>
      </c>
      <c r="L8" s="1">
        <f>IFERROR(Table3[[#This Row],[Price]]*Table3[[#This Row],[Units]],"")</f>
        <v>7200</v>
      </c>
    </row>
    <row r="9" spans="2:12" x14ac:dyDescent="0.25">
      <c r="B9" s="2"/>
      <c r="D9" s="5">
        <v>102</v>
      </c>
      <c r="E9" s="1" t="str">
        <f>IFERROR(VLOOKUP(Table3[[#This Row],[Cust_Id]],customersdata[#All],2,0),"")</f>
        <v>MK Tech.</v>
      </c>
      <c r="F9" s="1" t="s">
        <v>31</v>
      </c>
      <c r="G9" s="1" t="str">
        <f>IFERROR(VLOOKUP(Table3[[#This Row],[HSN Code]],ProductsData[#All],2,0),"")</f>
        <v>Laptop HP xyz i5</v>
      </c>
      <c r="I9" s="1">
        <f>VLOOKUP(Table3[[#This Row],[HSN Code]],Table5[#All],6,0)</f>
        <v>27</v>
      </c>
      <c r="J9" s="1">
        <v>23</v>
      </c>
      <c r="K9" s="1">
        <f>IFERROR(VLOOKUP(Table3[[#This Row],[HSN Code]],ProductsData[#All],3,0),"")</f>
        <v>34500</v>
      </c>
      <c r="L9" s="1">
        <f>IFERROR(Table3[[#This Row],[Price]]*Table3[[#This Row],[Units]],"")</f>
        <v>793500</v>
      </c>
    </row>
    <row r="10" spans="2:12" x14ac:dyDescent="0.25">
      <c r="B10" s="2"/>
      <c r="D10" s="5">
        <v>105</v>
      </c>
      <c r="E10" s="1" t="str">
        <f>IFERROR(VLOOKUP(Table3[[#This Row],[Cust_Id]],customersdata[#All],2,0),"")</f>
        <v xml:space="preserve">Amit </v>
      </c>
      <c r="F10" s="1" t="s">
        <v>37</v>
      </c>
      <c r="G10" s="1" t="str">
        <f>IFERROR(VLOOKUP(Table3[[#This Row],[HSN Code]],ProductsData[#All],2,0),"")</f>
        <v>Mouse</v>
      </c>
      <c r="H10" s="7">
        <v>46025</v>
      </c>
      <c r="I10" s="1">
        <f>VLOOKUP(Table3[[#This Row],[HSN Code]],Table5[#All],6,0)</f>
        <v>254</v>
      </c>
      <c r="J10" s="1">
        <v>10</v>
      </c>
      <c r="K10" s="1">
        <f>IFERROR(VLOOKUP(Table3[[#This Row],[HSN Code]],ProductsData[#All],3,0),"")</f>
        <v>200</v>
      </c>
      <c r="L10" s="1">
        <f>IFERROR(Table3[[#This Row],[Price]]*Table3[[#This Row],[Units]],"")</f>
        <v>2000</v>
      </c>
    </row>
    <row r="11" spans="2:12" x14ac:dyDescent="0.25">
      <c r="B11" s="2"/>
      <c r="D11" s="5">
        <v>105</v>
      </c>
      <c r="E11" s="1" t="str">
        <f>IFERROR(VLOOKUP(Table3[[#This Row],[Cust_Id]],customersdata[#All],2,0),"")</f>
        <v xml:space="preserve">Amit </v>
      </c>
      <c r="F11" s="1" t="s">
        <v>45</v>
      </c>
      <c r="G11" s="1" t="str">
        <f>IFERROR(VLOOKUP(Table3[[#This Row],[HSN Code]],ProductsData[#All],2,0),"")</f>
        <v>Speakers</v>
      </c>
      <c r="H11" s="7">
        <v>46025</v>
      </c>
      <c r="I11" s="1">
        <f>VLOOKUP(Table3[[#This Row],[HSN Code]],Table5[#All],6,0)</f>
        <v>80</v>
      </c>
      <c r="J11" s="1">
        <v>20</v>
      </c>
      <c r="K11" s="1">
        <f>IFERROR(VLOOKUP(Table3[[#This Row],[HSN Code]],ProductsData[#All],3,0),"")</f>
        <v>670</v>
      </c>
      <c r="L11" s="1">
        <f>IFERROR(Table3[[#This Row],[Price]]*Table3[[#This Row],[Units]],"")</f>
        <v>13400</v>
      </c>
    </row>
    <row r="12" spans="2:12" x14ac:dyDescent="0.25">
      <c r="B12" s="2"/>
      <c r="D12" s="5">
        <v>101</v>
      </c>
      <c r="E12" s="1" t="str">
        <f>IFERROR(VLOOKUP(Table3[[#This Row],[Cust_Id]],customersdata[#All],2,0),"")</f>
        <v>Atul Ltd.</v>
      </c>
      <c r="F12" s="1" t="s">
        <v>29</v>
      </c>
      <c r="G12" s="1" t="str">
        <f>IFERROR(VLOOKUP(Table3[[#This Row],[HSN Code]],ProductsData[#All],2,0),"")</f>
        <v>Smart Watch</v>
      </c>
      <c r="H12" s="7">
        <v>46026</v>
      </c>
      <c r="I12" s="1">
        <f>VLOOKUP(Table3[[#This Row],[HSN Code]],Table5[#All],6,0)</f>
        <v>150</v>
      </c>
      <c r="J12" s="1">
        <v>30</v>
      </c>
      <c r="K12" s="1">
        <f>IFERROR(VLOOKUP(Table3[[#This Row],[HSN Code]],ProductsData[#All],3,0),"")</f>
        <v>980</v>
      </c>
      <c r="L12" s="1">
        <f>IFERROR(Table3[[#This Row],[Price]]*Table3[[#This Row],[Units]],"")</f>
        <v>29400</v>
      </c>
    </row>
    <row r="13" spans="2:12" x14ac:dyDescent="0.25">
      <c r="B13" s="2"/>
      <c r="D13" s="5">
        <v>107</v>
      </c>
      <c r="E13" s="1" t="str">
        <f>IFERROR(VLOOKUP(Table3[[#This Row],[Cust_Id]],customersdata[#All],2,0),"")</f>
        <v>prnv</v>
      </c>
      <c r="F13" s="1" t="s">
        <v>47</v>
      </c>
      <c r="G13" s="1" t="str">
        <f>IFERROR(VLOOKUP(Table3[[#This Row],[HSN Code]],ProductsData[#All],2,0),"")</f>
        <v>Tablets</v>
      </c>
      <c r="H13" s="7">
        <v>46026</v>
      </c>
      <c r="I13" s="1">
        <f>VLOOKUP(Table3[[#This Row],[HSN Code]],Table5[#All],6,0)</f>
        <v>50</v>
      </c>
      <c r="J13" s="1">
        <v>50</v>
      </c>
      <c r="K13" s="1">
        <f>IFERROR(VLOOKUP(Table3[[#This Row],[HSN Code]],ProductsData[#All],3,0),"")</f>
        <v>23500</v>
      </c>
      <c r="L13" s="1">
        <f>IFERROR(Table3[[#This Row],[Price]]*Table3[[#This Row],[Units]],"")</f>
        <v>1175000</v>
      </c>
    </row>
    <row r="14" spans="2:12" x14ac:dyDescent="0.25">
      <c r="B14" s="2"/>
      <c r="D14" s="5"/>
      <c r="E14" s="1" t="str">
        <f>IFERROR(VLOOKUP(Table3[[#This Row],[Cust_Id]],customersdata[#All],2,0),"")</f>
        <v/>
      </c>
      <c r="G14" s="1" t="str">
        <f>IFERROR(VLOOKUP(Table3[[#This Row],[HSN Code]],ProductsData[#All],2,0),"")</f>
        <v/>
      </c>
      <c r="I14" s="1">
        <f>VLOOKUP(Table3[[#This Row],[HSN Code]],Table5[#All],6,0)</f>
        <v>0</v>
      </c>
      <c r="K14" s="1" t="str">
        <f>IFERROR(VLOOKUP(Table3[[#This Row],[HSN Code]],ProductsData[#All],3,0),"")</f>
        <v/>
      </c>
      <c r="L14" s="1" t="str">
        <f>IFERROR(Table3[[#This Row],[Price]]*Table3[[#This Row],[Units]],"")</f>
        <v/>
      </c>
    </row>
    <row r="15" spans="2:12" x14ac:dyDescent="0.25">
      <c r="B15" s="2"/>
      <c r="D15" s="5"/>
      <c r="E15" s="1" t="str">
        <f>IFERROR(VLOOKUP(Table3[[#This Row],[Cust_Id]],customersdata[#All],2,0),"")</f>
        <v/>
      </c>
      <c r="G15" s="1" t="str">
        <f>IFERROR(VLOOKUP(Table3[[#This Row],[HSN Code]],ProductsData[#All],2,0),"")</f>
        <v/>
      </c>
      <c r="I15" s="1">
        <f>VLOOKUP(Table3[[#This Row],[HSN Code]],Table5[#All],6,0)</f>
        <v>0</v>
      </c>
      <c r="K15" s="1" t="str">
        <f>IFERROR(VLOOKUP(Table3[[#This Row],[HSN Code]],ProductsData[#All],3,0),"")</f>
        <v/>
      </c>
      <c r="L15" s="1" t="str">
        <f>IFERROR(Table3[[#This Row],[Price]]*Table3[[#This Row],[Units]],"")</f>
        <v/>
      </c>
    </row>
    <row r="16" spans="2:12" x14ac:dyDescent="0.25">
      <c r="B16" s="2"/>
      <c r="D16" s="5"/>
      <c r="E16" s="1" t="str">
        <f>IFERROR(VLOOKUP(Table3[[#This Row],[Cust_Id]],customersdata[#All],2,0),"")</f>
        <v/>
      </c>
      <c r="G16" s="1" t="str">
        <f>IFERROR(VLOOKUP(Table3[[#This Row],[HSN Code]],ProductsData[#All],2,0),"")</f>
        <v/>
      </c>
      <c r="I16" s="1">
        <f>VLOOKUP(Table3[[#This Row],[HSN Code]],Table5[#All],6,0)</f>
        <v>0</v>
      </c>
      <c r="K16" s="1" t="str">
        <f>IFERROR(VLOOKUP(Table3[[#This Row],[HSN Code]],ProductsData[#All],3,0),"")</f>
        <v/>
      </c>
      <c r="L16" s="1" t="str">
        <f>IFERROR(Table3[[#This Row],[Price]]*Table3[[#This Row],[Units]],"")</f>
        <v/>
      </c>
    </row>
    <row r="17" spans="2:12" x14ac:dyDescent="0.25">
      <c r="B17" s="2"/>
      <c r="D17" s="5"/>
      <c r="E17" s="1" t="str">
        <f>IFERROR(VLOOKUP(Table3[[#This Row],[Cust_Id]],customersdata[#All],2,0),"")</f>
        <v/>
      </c>
      <c r="G17" s="1" t="str">
        <f>IFERROR(VLOOKUP(Table3[[#This Row],[HSN Code]],ProductsData[#All],2,0),"")</f>
        <v/>
      </c>
      <c r="I17" s="1">
        <f>VLOOKUP(Table3[[#This Row],[HSN Code]],Table5[#All],6,0)</f>
        <v>0</v>
      </c>
      <c r="K17" s="1" t="str">
        <f>IFERROR(VLOOKUP(Table3[[#This Row],[HSN Code]],ProductsData[#All],3,0),"")</f>
        <v/>
      </c>
      <c r="L17" s="1" t="str">
        <f>IFERROR(Table3[[#This Row],[Price]]*Table3[[#This Row],[Units]],"")</f>
        <v/>
      </c>
    </row>
    <row r="18" spans="2:12" x14ac:dyDescent="0.25">
      <c r="B18" s="2"/>
      <c r="D18" s="5"/>
      <c r="E18" s="1" t="str">
        <f>IFERROR(VLOOKUP(Table3[[#This Row],[Cust_Id]],customersdata[#All],2,0),"")</f>
        <v/>
      </c>
      <c r="G18" s="1" t="str">
        <f>IFERROR(VLOOKUP(Table3[[#This Row],[HSN Code]],ProductsData[#All],2,0),"")</f>
        <v/>
      </c>
      <c r="I18" s="1">
        <f>VLOOKUP(Table3[[#This Row],[HSN Code]],Table5[#All],6,0)</f>
        <v>0</v>
      </c>
      <c r="K18" s="1" t="str">
        <f>IFERROR(VLOOKUP(Table3[[#This Row],[HSN Code]],ProductsData[#All],3,0),"")</f>
        <v/>
      </c>
      <c r="L18" s="1" t="str">
        <f>IFERROR(Table3[[#This Row],[Price]]*Table3[[#This Row],[Units]],"")</f>
        <v/>
      </c>
    </row>
    <row r="19" spans="2:12" x14ac:dyDescent="0.25">
      <c r="B19" s="2"/>
      <c r="D19" s="5"/>
      <c r="E19" s="1" t="str">
        <f>IFERROR(VLOOKUP(Table3[[#This Row],[Cust_Id]],customersdata[#All],2,0),"")</f>
        <v/>
      </c>
      <c r="G19" s="1" t="str">
        <f>IFERROR(VLOOKUP(Table3[[#This Row],[HSN Code]],ProductsData[#All],2,0),"")</f>
        <v/>
      </c>
      <c r="I19" s="1">
        <f>VLOOKUP(Table3[[#This Row],[HSN Code]],Table5[#All],6,0)</f>
        <v>0</v>
      </c>
      <c r="K19" s="1" t="str">
        <f>IFERROR(VLOOKUP(Table3[[#This Row],[HSN Code]],ProductsData[#All],3,0),"")</f>
        <v/>
      </c>
      <c r="L19" s="1" t="str">
        <f>IFERROR(Table3[[#This Row],[Price]]*Table3[[#This Row],[Units]],"")</f>
        <v/>
      </c>
    </row>
    <row r="20" spans="2:12" x14ac:dyDescent="0.25">
      <c r="B20" s="2"/>
      <c r="D20" s="5"/>
      <c r="E20" s="1" t="str">
        <f>IFERROR(VLOOKUP(Table3[[#This Row],[Cust_Id]],customersdata[#All],2,0),"")</f>
        <v/>
      </c>
      <c r="G20" s="1" t="str">
        <f>IFERROR(VLOOKUP(Table3[[#This Row],[HSN Code]],ProductsData[#All],2,0),"")</f>
        <v/>
      </c>
      <c r="I20" s="1">
        <f>VLOOKUP(Table3[[#This Row],[HSN Code]],Table5[#All],6,0)</f>
        <v>0</v>
      </c>
      <c r="K20" s="1" t="str">
        <f>IFERROR(VLOOKUP(Table3[[#This Row],[HSN Code]],ProductsData[#All],3,0),"")</f>
        <v/>
      </c>
      <c r="L20" s="1" t="str">
        <f>IFERROR(Table3[[#This Row],[Price]]*Table3[[#This Row],[Units]],"")</f>
        <v/>
      </c>
    </row>
    <row r="21" spans="2:12" x14ac:dyDescent="0.25">
      <c r="B21" s="2"/>
      <c r="D21" s="5"/>
      <c r="E21" s="1" t="str">
        <f>IFERROR(VLOOKUP(Table3[[#This Row],[Cust_Id]],customersdata[#All],2,0),"")</f>
        <v/>
      </c>
      <c r="G21" s="1" t="str">
        <f>IFERROR(VLOOKUP(Table3[[#This Row],[HSN Code]],ProductsData[#All],2,0),"")</f>
        <v/>
      </c>
      <c r="I21" s="1">
        <f>VLOOKUP(Table3[[#This Row],[HSN Code]],Table5[#All],6,0)</f>
        <v>0</v>
      </c>
      <c r="K21" s="1" t="str">
        <f>IFERROR(VLOOKUP(Table3[[#This Row],[HSN Code]],ProductsData[#All],3,0),"")</f>
        <v/>
      </c>
      <c r="L21" s="1" t="str">
        <f>IFERROR(Table3[[#This Row],[Price]]*Table3[[#This Row],[Units]],"")</f>
        <v/>
      </c>
    </row>
    <row r="22" spans="2:12" x14ac:dyDescent="0.25">
      <c r="B22" s="2"/>
    </row>
    <row r="23" spans="2:12" x14ac:dyDescent="0.25">
      <c r="B23" s="2"/>
    </row>
    <row r="24" spans="2:12" x14ac:dyDescent="0.25">
      <c r="B24" s="2"/>
    </row>
    <row r="25" spans="2:12" x14ac:dyDescent="0.25">
      <c r="B25" s="2"/>
    </row>
    <row r="26" spans="2:12" x14ac:dyDescent="0.25">
      <c r="B26" s="2"/>
    </row>
    <row r="27" spans="2:12" x14ac:dyDescent="0.25">
      <c r="B27" s="2"/>
    </row>
    <row r="28" spans="2:12" x14ac:dyDescent="0.25">
      <c r="B28" s="2"/>
    </row>
    <row r="29" spans="2:12" x14ac:dyDescent="0.25">
      <c r="B29" s="2"/>
    </row>
    <row r="30" spans="2:12" x14ac:dyDescent="0.25">
      <c r="B30" s="2"/>
    </row>
    <row r="31" spans="2:12" x14ac:dyDescent="0.25">
      <c r="B31" s="2"/>
    </row>
    <row r="32" spans="2:12" x14ac:dyDescent="0.25">
      <c r="B32" s="2"/>
    </row>
    <row r="33" spans="2:2" x14ac:dyDescent="0.25">
      <c r="B33" s="2"/>
    </row>
    <row r="34" spans="2:2" x14ac:dyDescent="0.25">
      <c r="B34" s="2"/>
    </row>
    <row r="35" spans="2:2" x14ac:dyDescent="0.25">
      <c r="B35" s="2"/>
    </row>
  </sheetData>
  <dataValidations count="2">
    <dataValidation type="list" allowBlank="1" showInputMessage="1" showErrorMessage="1" sqref="D7:D21" xr:uid="{CC8D4193-4224-424D-BD68-32A5674A6D24}">
      <formula1>CID</formula1>
    </dataValidation>
    <dataValidation type="list" allowBlank="1" showInputMessage="1" showErrorMessage="1" sqref="F7:F21" xr:uid="{53F14ECE-907F-444B-84EE-7EC97BCBB2D1}">
      <formula1>hsncode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46646-D131-4921-BA77-374B70620AC3}">
  <dimension ref="B1:K35"/>
  <sheetViews>
    <sheetView showGridLines="0" zoomScale="85" zoomScaleNormal="85" workbookViewId="0">
      <selection activeCell="K24" sqref="K24"/>
    </sheetView>
  </sheetViews>
  <sheetFormatPr defaultRowHeight="15" x14ac:dyDescent="0.25"/>
  <cols>
    <col min="1" max="1" width="4" style="1" customWidth="1"/>
    <col min="2" max="2" width="25.28515625" style="1" customWidth="1"/>
    <col min="3" max="3" width="2.42578125" style="1" customWidth="1"/>
    <col min="4" max="4" width="17.140625" style="1" bestFit="1" customWidth="1"/>
    <col min="5" max="5" width="21.140625" style="1" bestFit="1" customWidth="1"/>
    <col min="6" max="6" width="10.140625" style="1" bestFit="1" customWidth="1"/>
    <col min="7" max="8" width="13" style="1" bestFit="1" customWidth="1"/>
    <col min="9" max="9" width="11.5703125" style="1" bestFit="1" customWidth="1"/>
    <col min="10" max="10" width="16.42578125" style="1" bestFit="1" customWidth="1"/>
    <col min="11" max="11" width="44.42578125" style="1" bestFit="1" customWidth="1"/>
    <col min="12" max="16384" width="9.140625" style="1"/>
  </cols>
  <sheetData>
    <row r="1" spans="2:11" ht="18.75" customHeight="1" x14ac:dyDescent="0.25"/>
    <row r="2" spans="2:11" x14ac:dyDescent="0.25">
      <c r="B2" s="2"/>
    </row>
    <row r="3" spans="2:11" x14ac:dyDescent="0.25">
      <c r="B3" s="2"/>
    </row>
    <row r="4" spans="2:11" x14ac:dyDescent="0.25">
      <c r="B4" s="2"/>
    </row>
    <row r="5" spans="2:11" x14ac:dyDescent="0.25">
      <c r="B5" s="2"/>
    </row>
    <row r="6" spans="2:11" x14ac:dyDescent="0.25">
      <c r="B6" s="2"/>
      <c r="D6" s="1" t="s">
        <v>75</v>
      </c>
      <c r="E6" s="1" t="s">
        <v>26</v>
      </c>
      <c r="F6" s="1" t="s">
        <v>27</v>
      </c>
      <c r="G6" s="1" t="s">
        <v>77</v>
      </c>
      <c r="H6" s="1" t="s">
        <v>76</v>
      </c>
      <c r="I6" s="1" t="s">
        <v>78</v>
      </c>
      <c r="J6" s="1" t="s">
        <v>79</v>
      </c>
      <c r="K6" s="1" t="s">
        <v>93</v>
      </c>
    </row>
    <row r="7" spans="2:11" x14ac:dyDescent="0.25">
      <c r="B7" s="2"/>
      <c r="D7" s="1" t="str">
        <f>IFERROR(Products!D8,"")</f>
        <v>N1001</v>
      </c>
      <c r="E7" s="1" t="str">
        <f>IFERROR(Products!E8,"")</f>
        <v>Smart Watch</v>
      </c>
      <c r="F7" s="1">
        <f>IFERROR(Products!F8,"")</f>
        <v>980</v>
      </c>
      <c r="G7" s="1">
        <f>SUMIF(Purchasedata[Product Name],Table5[[#This Row],[Product Name]],Purchasedata[Units])</f>
        <v>200</v>
      </c>
      <c r="H7" s="1">
        <f>SUMIF(Table3[Product Name],Table5[[#This Row],[Product Name]],Table3[Units])</f>
        <v>50</v>
      </c>
      <c r="I7" s="1">
        <f>Table5[[#This Row],[P Units]]-Table5[[#This Row],[S Units]]</f>
        <v>150</v>
      </c>
      <c r="J7" s="1">
        <f>Table5[[#This Row],[Cost]]*Table5[[#This Row],[Stock]]</f>
        <v>147000</v>
      </c>
      <c r="K7" s="14" t="str">
        <f>IFERROR(IF(Table5[[#This Row],[Stock]]&lt;5,"📞 " &amp;Table5[[#This Row],[Product Name]]&amp;" Needs to reorder ! PH "&amp;VLOOKUP(Table5[[#This Row],[HSN Code ]],Table26[#All],4,0),""),"")</f>
        <v/>
      </c>
    </row>
    <row r="8" spans="2:11" x14ac:dyDescent="0.25">
      <c r="B8" s="2"/>
      <c r="D8" s="1" t="str">
        <f>IFERROR(Products!D9,"")</f>
        <v>N1002</v>
      </c>
      <c r="E8" s="1" t="str">
        <f>IFERROR(Products!E9,"")</f>
        <v>Laptop HP xyz i5</v>
      </c>
      <c r="F8" s="1">
        <f>IFERROR(Products!F9,"")</f>
        <v>34500</v>
      </c>
      <c r="G8" s="1">
        <f>SUMIF(Purchasedata[Product Name],Table5[[#This Row],[Product Name]],Purchasedata[Units])</f>
        <v>50</v>
      </c>
      <c r="H8" s="1">
        <f>SUMIF(Table3[Product Name],Table5[[#This Row],[Product Name]],Table3[Units])</f>
        <v>23</v>
      </c>
      <c r="I8" s="1">
        <f>Table5[[#This Row],[P Units]]-Table5[[#This Row],[S Units]]</f>
        <v>27</v>
      </c>
      <c r="J8" s="1">
        <f>Table5[[#This Row],[Cost]]*Table5[[#This Row],[Stock]]</f>
        <v>931500</v>
      </c>
      <c r="K8" s="13" t="str">
        <f>IFERROR(IF(Table5[[#This Row],[Stock]]&lt;5,"📞 " &amp;Table5[[#This Row],[Product Name]]&amp;" Needs to reorder ! PH "&amp;VLOOKUP(Table5[[#This Row],[HSN Code ]],Table26[#All],4,0),""),"")</f>
        <v/>
      </c>
    </row>
    <row r="9" spans="2:11" x14ac:dyDescent="0.25">
      <c r="B9" s="2"/>
      <c r="D9" s="1" t="str">
        <f>IFERROR(Products!D10,"")</f>
        <v>N1003</v>
      </c>
      <c r="E9" s="1" t="str">
        <f>IFERROR(Products!E10,"")</f>
        <v>Wireless Printer</v>
      </c>
      <c r="F9" s="1">
        <f>IFERROR(Products!F10,"")</f>
        <v>4600</v>
      </c>
      <c r="G9" s="1">
        <f>SUMIF(Purchasedata[Product Name],Table5[[#This Row],[Product Name]],Purchasedata[Units])</f>
        <v>25</v>
      </c>
      <c r="H9" s="1">
        <f>SUMIF(Table3[Product Name],Table5[[#This Row],[Product Name]],Table3[Units])</f>
        <v>0</v>
      </c>
      <c r="I9" s="1">
        <f>Table5[[#This Row],[P Units]]-Table5[[#This Row],[S Units]]</f>
        <v>25</v>
      </c>
      <c r="J9" s="1">
        <f>Table5[[#This Row],[Cost]]*Table5[[#This Row],[Stock]]</f>
        <v>115000</v>
      </c>
      <c r="K9" s="13" t="str">
        <f>IFERROR(IF(Table5[[#This Row],[Stock]]&lt;5,"📞 " &amp;Table5[[#This Row],[Product Name]]&amp;" Needs to reorder ! PH "&amp;VLOOKUP(Table5[[#This Row],[HSN Code ]],Table26[#All],4,0),""),"")</f>
        <v/>
      </c>
    </row>
    <row r="10" spans="2:11" x14ac:dyDescent="0.25">
      <c r="B10" s="2"/>
      <c r="D10" s="1" t="str">
        <f>IFERROR(Products!D11,"")</f>
        <v>N1004</v>
      </c>
      <c r="E10" s="1" t="str">
        <f>IFERROR(Products!E11,"")</f>
        <v>Desktop</v>
      </c>
      <c r="F10" s="1">
        <f>IFERROR(Products!F11,"")</f>
        <v>21000</v>
      </c>
      <c r="G10" s="1">
        <f>SUMIF(Purchasedata[Product Name],Table5[[#This Row],[Product Name]],Purchasedata[Units])</f>
        <v>34</v>
      </c>
      <c r="H10" s="1">
        <f>SUMIF(Table3[Product Name],Table5[[#This Row],[Product Name]],Table3[Units])</f>
        <v>0</v>
      </c>
      <c r="I10" s="1">
        <f>Table5[[#This Row],[P Units]]-Table5[[#This Row],[S Units]]</f>
        <v>34</v>
      </c>
      <c r="J10" s="1">
        <f>Table5[[#This Row],[Cost]]*Table5[[#This Row],[Stock]]</f>
        <v>714000</v>
      </c>
      <c r="K10" s="13" t="str">
        <f>IFERROR(IF(Table5[[#This Row],[Stock]]&lt;5,"📞 " &amp;Table5[[#This Row],[Product Name]]&amp;" Needs to reorder ! PH "&amp;VLOOKUP(Table5[[#This Row],[HSN Code ]],Table26[#All],4,0),""),"")</f>
        <v/>
      </c>
    </row>
    <row r="11" spans="2:11" x14ac:dyDescent="0.25">
      <c r="B11" s="2"/>
      <c r="D11" s="1" t="str">
        <f>IFERROR(Products!D12,"")</f>
        <v>N1005</v>
      </c>
      <c r="E11" s="1" t="str">
        <f>IFERROR(Products!E12,"")</f>
        <v>Mouse</v>
      </c>
      <c r="F11" s="1">
        <f>IFERROR(Products!F12,"")</f>
        <v>200</v>
      </c>
      <c r="G11" s="1">
        <f>SUMIF(Purchasedata[Product Name],Table5[[#This Row],[Product Name]],Purchasedata[Units])</f>
        <v>300</v>
      </c>
      <c r="H11" s="1">
        <f>SUMIF(Table3[Product Name],Table5[[#This Row],[Product Name]],Table3[Units])</f>
        <v>46</v>
      </c>
      <c r="I11" s="1">
        <f>Table5[[#This Row],[P Units]]-Table5[[#This Row],[S Units]]</f>
        <v>254</v>
      </c>
      <c r="J11" s="1">
        <f>Table5[[#This Row],[Cost]]*Table5[[#This Row],[Stock]]</f>
        <v>50800</v>
      </c>
      <c r="K11" s="13" t="str">
        <f>IFERROR(IF(Table5[[#This Row],[Stock]]&lt;5,"📞 " &amp;Table5[[#This Row],[Product Name]]&amp;" Needs to reorder ! PH "&amp;VLOOKUP(Table5[[#This Row],[HSN Code ]],Table26[#All],4,0),""),"")</f>
        <v/>
      </c>
    </row>
    <row r="12" spans="2:11" x14ac:dyDescent="0.25">
      <c r="B12" s="2"/>
      <c r="D12" s="1" t="str">
        <f>IFERROR(Products!D13,"")</f>
        <v>N1006</v>
      </c>
      <c r="E12" s="1" t="str">
        <f>IFERROR(Products!E13,"")</f>
        <v>Rgb Keyboard</v>
      </c>
      <c r="F12" s="1">
        <f>IFERROR(Products!F13,"")</f>
        <v>340</v>
      </c>
      <c r="G12" s="1">
        <f>SUMIF(Purchasedata[Product Name],Table5[[#This Row],[Product Name]],Purchasedata[Units])</f>
        <v>7</v>
      </c>
      <c r="H12" s="1">
        <f>SUMIF(Table3[Product Name],Table5[[#This Row],[Product Name]],Table3[Units])</f>
        <v>0</v>
      </c>
      <c r="I12" s="1">
        <f>Table5[[#This Row],[P Units]]-Table5[[#This Row],[S Units]]</f>
        <v>7</v>
      </c>
      <c r="J12" s="1">
        <f>Table5[[#This Row],[Cost]]*Table5[[#This Row],[Stock]]</f>
        <v>2380</v>
      </c>
      <c r="K12" s="13" t="str">
        <f>IFERROR(IF(Table5[[#This Row],[Stock]]&lt;5,"📞 " &amp;Table5[[#This Row],[Product Name]]&amp;" Needs to reorder ! PH "&amp;VLOOKUP(Table5[[#This Row],[HSN Code ]],Table26[#All],4,0),""),"")</f>
        <v/>
      </c>
    </row>
    <row r="13" spans="2:11" x14ac:dyDescent="0.25">
      <c r="B13" s="2"/>
      <c r="D13" s="1" t="str">
        <f>IFERROR(Products!D14,"")</f>
        <v>N1007</v>
      </c>
      <c r="E13" s="1" t="str">
        <f>IFERROR(Products!E14,"")</f>
        <v>Camera</v>
      </c>
      <c r="F13" s="1">
        <f>IFERROR(Products!F14,"")</f>
        <v>52000</v>
      </c>
      <c r="G13" s="1">
        <f>SUMIF(Purchasedata[Product Name],Table5[[#This Row],[Product Name]],Purchasedata[Units])</f>
        <v>0</v>
      </c>
      <c r="H13" s="1">
        <f>SUMIF(Table3[Product Name],Table5[[#This Row],[Product Name]],Table3[Units])</f>
        <v>0</v>
      </c>
      <c r="I13" s="1">
        <f>Table5[[#This Row],[P Units]]-Table5[[#This Row],[S Units]]</f>
        <v>0</v>
      </c>
      <c r="J13" s="1">
        <f>Table5[[#This Row],[Cost]]*Table5[[#This Row],[Stock]]</f>
        <v>0</v>
      </c>
      <c r="K13" s="13" t="str">
        <f>IFERROR(IF(Table5[[#This Row],[Stock]]&lt;5,"📞 " &amp;Table5[[#This Row],[Product Name]]&amp;" Needs to reorder ! PH "&amp;VLOOKUP(Table5[[#This Row],[HSN Code ]],Table26[#All],4,0),""),"")</f>
        <v>📞 Camera Needs to reorder ! PH 9813xxxxxx</v>
      </c>
    </row>
    <row r="14" spans="2:11" x14ac:dyDescent="0.25">
      <c r="B14" s="2"/>
      <c r="D14" s="1" t="str">
        <f>IFERROR(Products!D15,"")</f>
        <v>N1008</v>
      </c>
      <c r="E14" s="1" t="str">
        <f>IFERROR(Products!E15,"")</f>
        <v>Headphones</v>
      </c>
      <c r="F14" s="1">
        <f>IFERROR(Products!F15,"")</f>
        <v>799</v>
      </c>
      <c r="G14" s="1">
        <f>SUMIF(Purchasedata[Product Name],Table5[[#This Row],[Product Name]],Purchasedata[Units])</f>
        <v>5</v>
      </c>
      <c r="H14" s="1">
        <f>SUMIF(Table3[Product Name],Table5[[#This Row],[Product Name]],Table3[Units])</f>
        <v>0</v>
      </c>
      <c r="I14" s="1">
        <f>Table5[[#This Row],[P Units]]-Table5[[#This Row],[S Units]]</f>
        <v>5</v>
      </c>
      <c r="J14" s="1">
        <f>Table5[[#This Row],[Cost]]*Table5[[#This Row],[Stock]]</f>
        <v>3995</v>
      </c>
      <c r="K14" s="13" t="str">
        <f>IFERROR(IF(Table5[[#This Row],[Stock]]&lt;5,"📞 " &amp;Table5[[#This Row],[Product Name]]&amp;" Needs to reorder ! PH "&amp;VLOOKUP(Table5[[#This Row],[HSN Code ]],Table26[#All],4,0),""),"")</f>
        <v/>
      </c>
    </row>
    <row r="15" spans="2:11" x14ac:dyDescent="0.25">
      <c r="B15" s="2"/>
      <c r="D15" s="1" t="str">
        <f>IFERROR(Products!D16,"")</f>
        <v>N1009</v>
      </c>
      <c r="E15" s="1" t="str">
        <f>IFERROR(Products!E16,"")</f>
        <v>Speakers</v>
      </c>
      <c r="F15" s="1">
        <f>IFERROR(Products!F16,"")</f>
        <v>670</v>
      </c>
      <c r="G15" s="1">
        <f>SUMIF(Purchasedata[Product Name],Table5[[#This Row],[Product Name]],Purchasedata[Units])</f>
        <v>100</v>
      </c>
      <c r="H15" s="1">
        <f>SUMIF(Table3[Product Name],Table5[[#This Row],[Product Name]],Table3[Units])</f>
        <v>20</v>
      </c>
      <c r="I15" s="1">
        <f>Table5[[#This Row],[P Units]]-Table5[[#This Row],[S Units]]</f>
        <v>80</v>
      </c>
      <c r="J15" s="1">
        <f>Table5[[#This Row],[Cost]]*Table5[[#This Row],[Stock]]</f>
        <v>53600</v>
      </c>
      <c r="K15" s="13" t="str">
        <f>IFERROR(IF(Table5[[#This Row],[Stock]]&lt;5,"📞 " &amp;Table5[[#This Row],[Product Name]]&amp;" Needs to reorder ! PH "&amp;VLOOKUP(Table5[[#This Row],[HSN Code ]],Table26[#All],4,0),""),"")</f>
        <v/>
      </c>
    </row>
    <row r="16" spans="2:11" x14ac:dyDescent="0.25">
      <c r="B16" s="2"/>
      <c r="D16" s="1" t="str">
        <f>IFERROR(Products!D17,"")</f>
        <v>N1010</v>
      </c>
      <c r="E16" s="1" t="str">
        <f>IFERROR(Products!E17,"")</f>
        <v>Tablets</v>
      </c>
      <c r="F16" s="1">
        <f>IFERROR(Products!F17,"")</f>
        <v>23500</v>
      </c>
      <c r="G16" s="1">
        <f>SUMIF(Purchasedata[Product Name],Table5[[#This Row],[Product Name]],Purchasedata[Units])</f>
        <v>100</v>
      </c>
      <c r="H16" s="1">
        <f>SUMIF(Table3[Product Name],Table5[[#This Row],[Product Name]],Table3[Units])</f>
        <v>50</v>
      </c>
      <c r="I16" s="1">
        <f>Table5[[#This Row],[P Units]]-Table5[[#This Row],[S Units]]</f>
        <v>50</v>
      </c>
      <c r="J16" s="1">
        <f>Table5[[#This Row],[Cost]]*Table5[[#This Row],[Stock]]</f>
        <v>1175000</v>
      </c>
      <c r="K16" s="13" t="str">
        <f>IFERROR(IF(Table5[[#This Row],[Stock]]&lt;5,"📞 " &amp;Table5[[#This Row],[Product Name]]&amp;" Needs to reorder ! PH "&amp;VLOOKUP(Table5[[#This Row],[HSN Code ]],Table26[#All],4,0),""),"")</f>
        <v/>
      </c>
    </row>
    <row r="17" spans="2:11" x14ac:dyDescent="0.25">
      <c r="B17" s="2"/>
      <c r="D17" s="1">
        <f>IFERROR(Products!D18,"")</f>
        <v>0</v>
      </c>
      <c r="E17" s="1">
        <f>IFERROR(Products!E18,"")</f>
        <v>0</v>
      </c>
      <c r="F17" s="1">
        <f>IFERROR(Products!F18,"")</f>
        <v>0</v>
      </c>
      <c r="G17" s="1">
        <f>SUMIF(Purchasedata[Product Name],Table5[[#This Row],[Product Name]],Purchasedata[Units])</f>
        <v>0</v>
      </c>
      <c r="H17" s="1">
        <f>SUMIF(Table3[Product Name],Table5[[#This Row],[Product Name]],Table3[Units])</f>
        <v>0</v>
      </c>
      <c r="I17" s="1">
        <f>Table5[[#This Row],[P Units]]-Table5[[#This Row],[S Units]]</f>
        <v>0</v>
      </c>
      <c r="J17" s="1">
        <f>Table5[[#This Row],[Cost]]*Table5[[#This Row],[Stock]]</f>
        <v>0</v>
      </c>
      <c r="K17" s="13" t="str">
        <f>IFERROR(IF(Table5[[#This Row],[Stock]]&lt;5,"📞 " &amp;Table5[[#This Row],[Product Name]]&amp;" Needs to reorder ! PH "&amp;VLOOKUP(Table5[[#This Row],[HSN Code ]],Table26[#All],4,0),""),"")</f>
        <v/>
      </c>
    </row>
    <row r="18" spans="2:11" x14ac:dyDescent="0.25">
      <c r="B18" s="2"/>
    </row>
    <row r="19" spans="2:11" x14ac:dyDescent="0.25">
      <c r="B19" s="2"/>
    </row>
    <row r="20" spans="2:11" x14ac:dyDescent="0.25">
      <c r="B20" s="2"/>
    </row>
    <row r="21" spans="2:11" x14ac:dyDescent="0.25">
      <c r="B21" s="2"/>
    </row>
    <row r="22" spans="2:11" x14ac:dyDescent="0.25">
      <c r="B22" s="2"/>
    </row>
    <row r="23" spans="2:11" x14ac:dyDescent="0.25">
      <c r="B23" s="2"/>
    </row>
    <row r="24" spans="2:11" x14ac:dyDescent="0.25">
      <c r="B24" s="2"/>
    </row>
    <row r="25" spans="2:11" x14ac:dyDescent="0.25">
      <c r="B25" s="2"/>
    </row>
    <row r="26" spans="2:11" x14ac:dyDescent="0.25">
      <c r="B26" s="2"/>
    </row>
    <row r="27" spans="2:11" x14ac:dyDescent="0.25">
      <c r="B27" s="2"/>
    </row>
    <row r="28" spans="2:11" x14ac:dyDescent="0.25">
      <c r="B28" s="2"/>
    </row>
    <row r="29" spans="2:11" x14ac:dyDescent="0.25">
      <c r="B29" s="2"/>
    </row>
    <row r="30" spans="2:11" x14ac:dyDescent="0.25">
      <c r="B30" s="2"/>
    </row>
    <row r="31" spans="2:11" x14ac:dyDescent="0.25">
      <c r="B31" s="2"/>
    </row>
    <row r="32" spans="2:11" x14ac:dyDescent="0.25">
      <c r="B32" s="2"/>
    </row>
    <row r="33" spans="2:2" x14ac:dyDescent="0.25">
      <c r="B33" s="2"/>
    </row>
    <row r="34" spans="2:2" x14ac:dyDescent="0.25">
      <c r="B34" s="2"/>
    </row>
    <row r="35" spans="2:2" x14ac:dyDescent="0.25">
      <c r="B35" s="2"/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F6960-B82A-42D9-9089-0169EA2EB18E}">
  <dimension ref="A2:F36"/>
  <sheetViews>
    <sheetView workbookViewId="0">
      <selection activeCell="O38" sqref="O38"/>
    </sheetView>
  </sheetViews>
  <sheetFormatPr defaultRowHeight="15" x14ac:dyDescent="0.25"/>
  <cols>
    <col min="1" max="1" width="16.85546875" bestFit="1" customWidth="1"/>
    <col min="2" max="2" width="12.7109375" bestFit="1" customWidth="1"/>
    <col min="3" max="3" width="13.28515625" bestFit="1" customWidth="1"/>
    <col min="5" max="5" width="15" bestFit="1" customWidth="1"/>
    <col min="6" max="6" width="14.140625" bestFit="1" customWidth="1"/>
  </cols>
  <sheetData>
    <row r="2" spans="1:6" x14ac:dyDescent="0.25">
      <c r="A2" t="s">
        <v>80</v>
      </c>
      <c r="C2" t="s">
        <v>81</v>
      </c>
      <c r="E2" s="9" t="s">
        <v>90</v>
      </c>
      <c r="F2" t="s">
        <v>92</v>
      </c>
    </row>
    <row r="3" spans="1:6" x14ac:dyDescent="0.25">
      <c r="A3" s="16">
        <v>8</v>
      </c>
      <c r="C3">
        <f>GETPIVOTDATA("Name",$A$2)</f>
        <v>8</v>
      </c>
      <c r="E3" s="10">
        <v>0</v>
      </c>
      <c r="F3" s="16">
        <v>0</v>
      </c>
    </row>
    <row r="4" spans="1:6" x14ac:dyDescent="0.25">
      <c r="E4" s="10" t="s">
        <v>42</v>
      </c>
      <c r="F4" s="16">
        <v>0</v>
      </c>
    </row>
    <row r="5" spans="1:6" x14ac:dyDescent="0.25">
      <c r="A5" t="s">
        <v>82</v>
      </c>
      <c r="C5" t="s">
        <v>83</v>
      </c>
      <c r="E5" s="10" t="s">
        <v>36</v>
      </c>
      <c r="F5" s="16">
        <v>0</v>
      </c>
    </row>
    <row r="6" spans="1:6" x14ac:dyDescent="0.25">
      <c r="A6" s="16">
        <v>10</v>
      </c>
      <c r="C6">
        <f>GETPIVOTDATA("Product Name",Pivot!$A$5)</f>
        <v>10</v>
      </c>
      <c r="E6" s="10" t="s">
        <v>44</v>
      </c>
      <c r="F6" s="16">
        <v>0</v>
      </c>
    </row>
    <row r="7" spans="1:6" x14ac:dyDescent="0.25">
      <c r="E7" s="10" t="s">
        <v>32</v>
      </c>
      <c r="F7" s="16">
        <v>23</v>
      </c>
    </row>
    <row r="8" spans="1:6" x14ac:dyDescent="0.25">
      <c r="A8" t="s">
        <v>84</v>
      </c>
      <c r="C8" t="s">
        <v>85</v>
      </c>
      <c r="E8" s="10" t="s">
        <v>38</v>
      </c>
      <c r="F8" s="16">
        <v>46</v>
      </c>
    </row>
    <row r="9" spans="1:6" x14ac:dyDescent="0.25">
      <c r="A9" s="16">
        <v>2883375</v>
      </c>
      <c r="C9" s="8">
        <f>GETPIVOTDATA("Amount",$A$8)</f>
        <v>2883375</v>
      </c>
      <c r="E9" s="10" t="s">
        <v>40</v>
      </c>
      <c r="F9" s="16">
        <v>0</v>
      </c>
    </row>
    <row r="10" spans="1:6" x14ac:dyDescent="0.25">
      <c r="E10" s="10" t="s">
        <v>30</v>
      </c>
      <c r="F10" s="16">
        <v>50</v>
      </c>
    </row>
    <row r="11" spans="1:6" x14ac:dyDescent="0.25">
      <c r="A11" t="s">
        <v>84</v>
      </c>
      <c r="C11" t="s">
        <v>86</v>
      </c>
      <c r="E11" s="10" t="s">
        <v>46</v>
      </c>
      <c r="F11" s="16">
        <v>20</v>
      </c>
    </row>
    <row r="12" spans="1:6" x14ac:dyDescent="0.25">
      <c r="A12" s="16">
        <v>865100</v>
      </c>
      <c r="C12" s="8">
        <f>GETPIVOTDATA("Amount",$A$11)</f>
        <v>865100</v>
      </c>
      <c r="E12" s="10" t="s">
        <v>48</v>
      </c>
      <c r="F12" s="16">
        <v>0</v>
      </c>
    </row>
    <row r="13" spans="1:6" x14ac:dyDescent="0.25">
      <c r="E13" s="10" t="s">
        <v>34</v>
      </c>
      <c r="F13" s="16">
        <v>0</v>
      </c>
    </row>
    <row r="14" spans="1:6" x14ac:dyDescent="0.25">
      <c r="A14" t="s">
        <v>87</v>
      </c>
      <c r="C14" t="s">
        <v>88</v>
      </c>
      <c r="E14" s="10" t="s">
        <v>91</v>
      </c>
      <c r="F14" s="16">
        <v>139</v>
      </c>
    </row>
    <row r="15" spans="1:6" x14ac:dyDescent="0.25">
      <c r="A15" s="16">
        <v>2018275</v>
      </c>
      <c r="C15" s="8">
        <f>GETPIVOTDATA("Stock Amt",$A$14)</f>
        <v>2018275</v>
      </c>
    </row>
    <row r="16" spans="1:6" x14ac:dyDescent="0.25">
      <c r="E16" s="9" t="s">
        <v>90</v>
      </c>
      <c r="F16" t="s">
        <v>84</v>
      </c>
    </row>
    <row r="17" spans="1:6" x14ac:dyDescent="0.25">
      <c r="C17" t="s">
        <v>89</v>
      </c>
      <c r="E17" s="10" t="s">
        <v>10</v>
      </c>
      <c r="F17" s="16">
        <v>793500</v>
      </c>
    </row>
    <row r="18" spans="1:6" x14ac:dyDescent="0.25">
      <c r="C18" s="8">
        <f>C15+C12-C9</f>
        <v>0</v>
      </c>
      <c r="E18" s="10" t="s">
        <v>7</v>
      </c>
      <c r="F18" s="16">
        <v>29400</v>
      </c>
    </row>
    <row r="19" spans="1:6" x14ac:dyDescent="0.25">
      <c r="E19" s="10" t="s">
        <v>4</v>
      </c>
      <c r="F19" s="16">
        <v>19600</v>
      </c>
    </row>
    <row r="20" spans="1:6" x14ac:dyDescent="0.25">
      <c r="E20" s="10" t="s">
        <v>19</v>
      </c>
      <c r="F20" s="16">
        <v>15400</v>
      </c>
    </row>
    <row r="21" spans="1:6" x14ac:dyDescent="0.25">
      <c r="E21" s="10" t="s">
        <v>13</v>
      </c>
      <c r="F21" s="16">
        <v>7200</v>
      </c>
    </row>
    <row r="22" spans="1:6" x14ac:dyDescent="0.25">
      <c r="E22" s="10" t="s">
        <v>91</v>
      </c>
      <c r="F22" s="16">
        <v>865100</v>
      </c>
    </row>
    <row r="25" spans="1:6" x14ac:dyDescent="0.25">
      <c r="A25" s="9" t="s">
        <v>90</v>
      </c>
      <c r="B25" t="s">
        <v>94</v>
      </c>
    </row>
    <row r="26" spans="1:6" x14ac:dyDescent="0.25">
      <c r="A26" s="10" t="s">
        <v>42</v>
      </c>
      <c r="B26" s="16">
        <v>0</v>
      </c>
    </row>
    <row r="27" spans="1:6" x14ac:dyDescent="0.25">
      <c r="A27" s="10" t="s">
        <v>36</v>
      </c>
      <c r="B27" s="16">
        <v>34</v>
      </c>
    </row>
    <row r="28" spans="1:6" x14ac:dyDescent="0.25">
      <c r="A28" s="10" t="s">
        <v>44</v>
      </c>
      <c r="B28" s="16">
        <v>5</v>
      </c>
    </row>
    <row r="29" spans="1:6" x14ac:dyDescent="0.25">
      <c r="A29" s="10" t="s">
        <v>32</v>
      </c>
      <c r="B29" s="16">
        <v>27</v>
      </c>
    </row>
    <row r="30" spans="1:6" x14ac:dyDescent="0.25">
      <c r="A30" s="10" t="s">
        <v>38</v>
      </c>
      <c r="B30" s="16">
        <v>254</v>
      </c>
    </row>
    <row r="31" spans="1:6" x14ac:dyDescent="0.25">
      <c r="A31" s="10" t="s">
        <v>40</v>
      </c>
      <c r="B31" s="16">
        <v>7</v>
      </c>
    </row>
    <row r="32" spans="1:6" x14ac:dyDescent="0.25">
      <c r="A32" s="10" t="s">
        <v>30</v>
      </c>
      <c r="B32" s="16">
        <v>150</v>
      </c>
    </row>
    <row r="33" spans="1:2" x14ac:dyDescent="0.25">
      <c r="A33" s="10" t="s">
        <v>46</v>
      </c>
      <c r="B33" s="16">
        <v>80</v>
      </c>
    </row>
    <row r="34" spans="1:2" x14ac:dyDescent="0.25">
      <c r="A34" s="10" t="s">
        <v>48</v>
      </c>
      <c r="B34" s="16">
        <v>0</v>
      </c>
    </row>
    <row r="35" spans="1:2" x14ac:dyDescent="0.25">
      <c r="A35" s="10" t="s">
        <v>34</v>
      </c>
      <c r="B35" s="16">
        <v>25</v>
      </c>
    </row>
    <row r="36" spans="1:2" x14ac:dyDescent="0.25">
      <c r="A36" s="10" t="s">
        <v>91</v>
      </c>
      <c r="B36" s="16">
        <v>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Dashboard</vt:lpstr>
      <vt:lpstr>Customers</vt:lpstr>
      <vt:lpstr>Products</vt:lpstr>
      <vt:lpstr>Vendors</vt:lpstr>
      <vt:lpstr>New Entry</vt:lpstr>
      <vt:lpstr>Purchase</vt:lpstr>
      <vt:lpstr>Sales</vt:lpstr>
      <vt:lpstr>Inventory</vt:lpstr>
      <vt:lpstr>Pivot</vt:lpstr>
      <vt:lpstr>CID</vt:lpstr>
      <vt:lpstr>hsncode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Kale</dc:creator>
  <cp:lastModifiedBy>Kunal Kale</cp:lastModifiedBy>
  <dcterms:created xsi:type="dcterms:W3CDTF">2025-12-17T09:24:09Z</dcterms:created>
  <dcterms:modified xsi:type="dcterms:W3CDTF">2026-01-04T17:23:00Z</dcterms:modified>
</cp:coreProperties>
</file>